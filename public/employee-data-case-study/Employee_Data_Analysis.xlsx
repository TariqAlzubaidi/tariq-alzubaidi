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xr:revisionPtr revIDLastSave="0" documentId="8_{49EA92F6-4BE2-4E0E-B5AF-ECB7373BD696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Employee Data" sheetId="1" r:id="rId1"/>
    <sheet name="Headcount Analysis" sheetId="2" r:id="rId2"/>
    <sheet name="Salary Analysis" sheetId="3" r:id="rId3"/>
    <sheet name="Performance Analysis" sheetId="4" r:id="rId4"/>
    <sheet name="Employment Status Analysis" sheetId="5" r:id="rId5"/>
    <sheet name="Gender Analysis" sheetId="6" r:id="rId6"/>
    <sheet name="Location Analysis" sheetId="7" r:id="rId7"/>
    <sheet name="HR Dashboard" sheetId="8" r:id="rId8"/>
  </sheets>
  <definedNames>
    <definedName name="Slicer_Department">#N/A</definedName>
  </definedNames>
  <calcPr calcId="191028"/>
  <pivotCaches>
    <pivotCache cacheId="254" r:id="rId9"/>
    <pivotCache cacheId="280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8" l="1"/>
  <c r="F7" i="8"/>
  <c r="J7" i="8"/>
  <c r="M7" i="8"/>
  <c r="M13" i="1"/>
  <c r="M11" i="1"/>
  <c r="M9" i="1"/>
  <c r="M7" i="1"/>
  <c r="M5" i="1"/>
  <c r="M3" i="1"/>
  <c r="M2" i="1"/>
</calcChain>
</file>

<file path=xl/sharedStrings.xml><?xml version="1.0" encoding="utf-8"?>
<sst xmlns="http://schemas.openxmlformats.org/spreadsheetml/2006/main" count="3574" uniqueCount="959">
  <si>
    <t>Employee_ID</t>
  </si>
  <si>
    <t>Employee_Name</t>
  </si>
  <si>
    <t>Department</t>
  </si>
  <si>
    <t>Job_Title</t>
  </si>
  <si>
    <t>Gender</t>
  </si>
  <si>
    <t>Hire_Date</t>
  </si>
  <si>
    <t>Basic_Salary</t>
  </si>
  <si>
    <t>Performance_Rating</t>
  </si>
  <si>
    <t>Employment_Status</t>
  </si>
  <si>
    <t>Work_Location</t>
  </si>
  <si>
    <t>EMP0001</t>
  </si>
  <si>
    <t>Ali Alzubaidi</t>
  </si>
  <si>
    <t>Finance</t>
  </si>
  <si>
    <t>Accounting Assistant</t>
  </si>
  <si>
    <t>Male</t>
  </si>
  <si>
    <t>Active</t>
  </si>
  <si>
    <t>Jeddah</t>
  </si>
  <si>
    <t>HR Employees</t>
  </si>
  <si>
    <t>EMP0002</t>
  </si>
  <si>
    <t>Dana Alsaadi</t>
  </si>
  <si>
    <t>Customer Service</t>
  </si>
  <si>
    <t>Customer Support Specialist</t>
  </si>
  <si>
    <t>Female</t>
  </si>
  <si>
    <t>Makkah</t>
  </si>
  <si>
    <t>HR Percentage</t>
  </si>
  <si>
    <t>EMP0003</t>
  </si>
  <si>
    <t>Sultan Alnasser</t>
  </si>
  <si>
    <t>Sales</t>
  </si>
  <si>
    <t>Sales Analyst</t>
  </si>
  <si>
    <t>Riyadh</t>
  </si>
  <si>
    <t>EMP0004</t>
  </si>
  <si>
    <t>Hala Almalki</t>
  </si>
  <si>
    <t>Accountant</t>
  </si>
  <si>
    <t>Average Salary</t>
  </si>
  <si>
    <t>EMP0005</t>
  </si>
  <si>
    <t>Abdullah Alamri</t>
  </si>
  <si>
    <t>Human Resources</t>
  </si>
  <si>
    <t>HR Operations Specialist</t>
  </si>
  <si>
    <t>EMP0006</t>
  </si>
  <si>
    <t>Turki Alnasser</t>
  </si>
  <si>
    <t>Account Executive</t>
  </si>
  <si>
    <t>HR Average Salary</t>
  </si>
  <si>
    <t>EMP0007</t>
  </si>
  <si>
    <t>Key Account Manager</t>
  </si>
  <si>
    <t>Madinah</t>
  </si>
  <si>
    <t>EMP0008</t>
  </si>
  <si>
    <t>Saleh Alansari</t>
  </si>
  <si>
    <t>Administration</t>
  </si>
  <si>
    <t>Executive Secretary</t>
  </si>
  <si>
    <t>Finance Average Salary</t>
  </si>
  <si>
    <t>EMP0009</t>
  </si>
  <si>
    <t>Reem Alsaadi</t>
  </si>
  <si>
    <t>EMP0010</t>
  </si>
  <si>
    <t>Omar Alansari</t>
  </si>
  <si>
    <t>Administration Manager</t>
  </si>
  <si>
    <t>Dammam</t>
  </si>
  <si>
    <t>Highest Salary</t>
  </si>
  <si>
    <t>EMP0011</t>
  </si>
  <si>
    <t>Noura Alotaibi</t>
  </si>
  <si>
    <t>Operations</t>
  </si>
  <si>
    <t>Operations Supervisor</t>
  </si>
  <si>
    <t>On Leave</t>
  </si>
  <si>
    <t>EMP0012</t>
  </si>
  <si>
    <t>Omar Alotaibi</t>
  </si>
  <si>
    <t>Financial Analyst</t>
  </si>
  <si>
    <t>Lowest Salary</t>
  </si>
  <si>
    <t>EMP0013</t>
  </si>
  <si>
    <t>Huda Alharbi</t>
  </si>
  <si>
    <t>Information Technology</t>
  </si>
  <si>
    <t>Systems Administrator</t>
  </si>
  <si>
    <t>EMP0014</t>
  </si>
  <si>
    <t>Omar Alharbi</t>
  </si>
  <si>
    <t>HR Supervisor</t>
  </si>
  <si>
    <t>EMP0015</t>
  </si>
  <si>
    <t>Aisha Alzahrani</t>
  </si>
  <si>
    <t>Team Leader</t>
  </si>
  <si>
    <t>EMP0016</t>
  </si>
  <si>
    <t>Lina Alrashidi</t>
  </si>
  <si>
    <t>EMP0017</t>
  </si>
  <si>
    <t>Ahmed Alsaadi</t>
  </si>
  <si>
    <t>EMP0018</t>
  </si>
  <si>
    <t>Omar Alqahtani</t>
  </si>
  <si>
    <t>EMP0019</t>
  </si>
  <si>
    <t>Shahad Alharthi</t>
  </si>
  <si>
    <t>EMP0020</t>
  </si>
  <si>
    <t>Mohammed Alqahtani</t>
  </si>
  <si>
    <t>Operations Analyst</t>
  </si>
  <si>
    <t>EMP0021</t>
  </si>
  <si>
    <t>Turki Alqahtani</t>
  </si>
  <si>
    <t>EMP0022</t>
  </si>
  <si>
    <t>Nasser Alhazmi</t>
  </si>
  <si>
    <t>IT Support</t>
  </si>
  <si>
    <t>EMP0023</t>
  </si>
  <si>
    <t>Ibrahim Alharbi</t>
  </si>
  <si>
    <t>EMP0024</t>
  </si>
  <si>
    <t>Hamad Alotaibi</t>
  </si>
  <si>
    <t>IT Manager</t>
  </si>
  <si>
    <t>EMP0025</t>
  </si>
  <si>
    <t>Nada Alshammari</t>
  </si>
  <si>
    <t>EMP0026</t>
  </si>
  <si>
    <t>Saad Alhazmi</t>
  </si>
  <si>
    <t>HR Specialist</t>
  </si>
  <si>
    <t>EMP0027</t>
  </si>
  <si>
    <t>Amal Alqahtani</t>
  </si>
  <si>
    <t>EMP0028</t>
  </si>
  <si>
    <t>Omar Aljuhani</t>
  </si>
  <si>
    <t>Operations Specialist</t>
  </si>
  <si>
    <t>EMP0029</t>
  </si>
  <si>
    <t>Saad Alfarsi</t>
  </si>
  <si>
    <t>Sales Representative</t>
  </si>
  <si>
    <t>EMP0030</t>
  </si>
  <si>
    <t>Amal Alshammari</t>
  </si>
  <si>
    <t>EMP0031</t>
  </si>
  <si>
    <t>Reem Alzahrani</t>
  </si>
  <si>
    <t>EMP0032</t>
  </si>
  <si>
    <t>Ibrahim Almalki</t>
  </si>
  <si>
    <t>EMP0033</t>
  </si>
  <si>
    <t>Saad Alamri</t>
  </si>
  <si>
    <t>Operations Coordinator</t>
  </si>
  <si>
    <t>EMP0034</t>
  </si>
  <si>
    <t>Rana Alsharif</t>
  </si>
  <si>
    <t>Marketing</t>
  </si>
  <si>
    <t>Digital Marketing Specialist</t>
  </si>
  <si>
    <t>EMP0035</t>
  </si>
  <si>
    <t>Khalid Alnasser</t>
  </si>
  <si>
    <t>EMP0036</t>
  </si>
  <si>
    <t>Turki Alshammari</t>
  </si>
  <si>
    <t>Operations Manager</t>
  </si>
  <si>
    <t>EMP0037</t>
  </si>
  <si>
    <t>Maha Alghamdi</t>
  </si>
  <si>
    <t>EMP0038</t>
  </si>
  <si>
    <t>Fatimah Almutairi</t>
  </si>
  <si>
    <t>Senior Accountant</t>
  </si>
  <si>
    <t>EMP0039</t>
  </si>
  <si>
    <t>Omar Alrashidi</t>
  </si>
  <si>
    <t>Resigned</t>
  </si>
  <si>
    <t>EMP0040</t>
  </si>
  <si>
    <t>Maha Alzahrani</t>
  </si>
  <si>
    <t>EMP0041</t>
  </si>
  <si>
    <t>Ali Alharbi</t>
  </si>
  <si>
    <t>EMP0042</t>
  </si>
  <si>
    <t>Rayan Alhazmi</t>
  </si>
  <si>
    <t>EMP0043</t>
  </si>
  <si>
    <t>Huda Aljuhani</t>
  </si>
  <si>
    <t>EMP0044</t>
  </si>
  <si>
    <t>Hassan Alharthi</t>
  </si>
  <si>
    <t>EMP0045</t>
  </si>
  <si>
    <t>Saad Almutairi</t>
  </si>
  <si>
    <t>EMP0046</t>
  </si>
  <si>
    <t>Omar Alsharif</t>
  </si>
  <si>
    <t>Customer Service Manager</t>
  </si>
  <si>
    <t>EMP0047</t>
  </si>
  <si>
    <t>Abeer Alamri</t>
  </si>
  <si>
    <t>EMP0048</t>
  </si>
  <si>
    <t>Faisal Alsubaie</t>
  </si>
  <si>
    <t>EMP0049</t>
  </si>
  <si>
    <t>Fatimah Alshammari</t>
  </si>
  <si>
    <t>EMP0050</t>
  </si>
  <si>
    <t>Majed Almalki</t>
  </si>
  <si>
    <t>EMP0051</t>
  </si>
  <si>
    <t>Fahad Alnasser</t>
  </si>
  <si>
    <t>EMP0052</t>
  </si>
  <si>
    <t>Khalid Alqahtani</t>
  </si>
  <si>
    <t>Marketing Coordinator</t>
  </si>
  <si>
    <t>EMP0053</t>
  </si>
  <si>
    <t>Hassan Alrashidi</t>
  </si>
  <si>
    <t>EMP0054</t>
  </si>
  <si>
    <t>Turki Alotaibi</t>
  </si>
  <si>
    <t>EMP0055</t>
  </si>
  <si>
    <t>Faisal Alrashidi</t>
  </si>
  <si>
    <t>Software Engineer</t>
  </si>
  <si>
    <t>EMP0056</t>
  </si>
  <si>
    <t>Saad Alzahrani</t>
  </si>
  <si>
    <t>EMP0057</t>
  </si>
  <si>
    <t>Majed Alqahtani</t>
  </si>
  <si>
    <t>EMP0058</t>
  </si>
  <si>
    <t>Saad Alrashidi</t>
  </si>
  <si>
    <t>Data Analyst</t>
  </si>
  <si>
    <t>EMP0059</t>
  </si>
  <si>
    <t>Omar Alhazmi</t>
  </si>
  <si>
    <t>Marketing Manager</t>
  </si>
  <si>
    <t>EMP0060</t>
  </si>
  <si>
    <t>Lama Almutairi</t>
  </si>
  <si>
    <t>EMP0061</t>
  </si>
  <si>
    <t>Fahad Alqahtani</t>
  </si>
  <si>
    <t>EMP0062</t>
  </si>
  <si>
    <t>EMP0063</t>
  </si>
  <si>
    <t>Lama Alharbi</t>
  </si>
  <si>
    <t>EMP0064</t>
  </si>
  <si>
    <t>Khalid Alamri</t>
  </si>
  <si>
    <t>EMP0065</t>
  </si>
  <si>
    <t>Dana Almutairi</t>
  </si>
  <si>
    <t>EMP0066</t>
  </si>
  <si>
    <t>Ibrahim Alsubaie</t>
  </si>
  <si>
    <t>EMP0067</t>
  </si>
  <si>
    <t>Saleh Alghamdi</t>
  </si>
  <si>
    <t>EMP0068</t>
  </si>
  <si>
    <t>Turki Alhazmi</t>
  </si>
  <si>
    <t>EMP0069</t>
  </si>
  <si>
    <t>Aisha Alshammari</t>
  </si>
  <si>
    <t>EMP0070</t>
  </si>
  <si>
    <t>Rana Alansari</t>
  </si>
  <si>
    <t>EMP0071</t>
  </si>
  <si>
    <t>Saad Almalki</t>
  </si>
  <si>
    <t>EMP0072</t>
  </si>
  <si>
    <t>Maha Alharbi</t>
  </si>
  <si>
    <t>Administrative Assistant</t>
  </si>
  <si>
    <t>EMP0073</t>
  </si>
  <si>
    <t>Mohammed Alharbi</t>
  </si>
  <si>
    <t>EMP0074</t>
  </si>
  <si>
    <t>EMP0075</t>
  </si>
  <si>
    <t>Hamad Alamri</t>
  </si>
  <si>
    <t>EMP0076</t>
  </si>
  <si>
    <t>Shahad Alqahtani</t>
  </si>
  <si>
    <t>EMP0077</t>
  </si>
  <si>
    <t>Turki Alzahrani</t>
  </si>
  <si>
    <t>EMP0078</t>
  </si>
  <si>
    <t>Lina Alharthi</t>
  </si>
  <si>
    <t>Quality Analyst</t>
  </si>
  <si>
    <t>EMP0079</t>
  </si>
  <si>
    <t>Hassan Alzahrani</t>
  </si>
  <si>
    <t>EMP0080</t>
  </si>
  <si>
    <t>Raghad Alharthi</t>
  </si>
  <si>
    <t>EMP0081</t>
  </si>
  <si>
    <t>Lina Alnasser</t>
  </si>
  <si>
    <t>EMP0082</t>
  </si>
  <si>
    <t>Rayan Alsaadi</t>
  </si>
  <si>
    <t>Finance Manager</t>
  </si>
  <si>
    <t>EMP0083</t>
  </si>
  <si>
    <t>Maryam Alqahtani</t>
  </si>
  <si>
    <t>EMP0084</t>
  </si>
  <si>
    <t>Rayan Alnasser</t>
  </si>
  <si>
    <t>EMP0085</t>
  </si>
  <si>
    <t>Rayan Alharthi</t>
  </si>
  <si>
    <t>EMP0086</t>
  </si>
  <si>
    <t>Hamad Alrashidi</t>
  </si>
  <si>
    <t>EMP0087</t>
  </si>
  <si>
    <t>EMP0088</t>
  </si>
  <si>
    <t>Abdullah Alsaadi</t>
  </si>
  <si>
    <t>EMP0089</t>
  </si>
  <si>
    <t>Hassan Alghamdi</t>
  </si>
  <si>
    <t>EMP0090</t>
  </si>
  <si>
    <t>Fahad Alzahrani</t>
  </si>
  <si>
    <t>EMP0091</t>
  </si>
  <si>
    <t>EMP0092</t>
  </si>
  <si>
    <t>Lama Alfarsi</t>
  </si>
  <si>
    <t>EMP0093</t>
  </si>
  <si>
    <t>Mohammed Alfarsi</t>
  </si>
  <si>
    <t>EMP0094</t>
  </si>
  <si>
    <t>EMP0095</t>
  </si>
  <si>
    <t>Rayan Almutairi</t>
  </si>
  <si>
    <t>EMP0096</t>
  </si>
  <si>
    <t>Ahmed Aljuhani</t>
  </si>
  <si>
    <t>EMP0097</t>
  </si>
  <si>
    <t>Khalid Alotaibi</t>
  </si>
  <si>
    <t>EMP0098</t>
  </si>
  <si>
    <t>Administrative Supervisor</t>
  </si>
  <si>
    <t>EMP0099</t>
  </si>
  <si>
    <t>Ahmed Alharbi</t>
  </si>
  <si>
    <t>EMP0100</t>
  </si>
  <si>
    <t>EMP0101</t>
  </si>
  <si>
    <t>Noura Alnasser</t>
  </si>
  <si>
    <t>EMP0102</t>
  </si>
  <si>
    <t>EMP0103</t>
  </si>
  <si>
    <t>Omar Alghamdi</t>
  </si>
  <si>
    <t>EMP0104</t>
  </si>
  <si>
    <t>Reem Alghamdi</t>
  </si>
  <si>
    <t>EMP0105</t>
  </si>
  <si>
    <t>Hala Alansari</t>
  </si>
  <si>
    <t>EMP0106</t>
  </si>
  <si>
    <t>Yousef Aljuhani</t>
  </si>
  <si>
    <t>EMP0107</t>
  </si>
  <si>
    <t>Ibrahim Alhazmi</t>
  </si>
  <si>
    <t>EMP0108</t>
  </si>
  <si>
    <t>Maryam Alansari</t>
  </si>
  <si>
    <t>EMP0109</t>
  </si>
  <si>
    <t>Hanan Alamri</t>
  </si>
  <si>
    <t>Customer Service Agent</t>
  </si>
  <si>
    <t>EMP0110</t>
  </si>
  <si>
    <t>EMP0111</t>
  </si>
  <si>
    <t>EMP0112</t>
  </si>
  <si>
    <t>Amal Almalki</t>
  </si>
  <si>
    <t>EMP0113</t>
  </si>
  <si>
    <t>Maha Aljuhani</t>
  </si>
  <si>
    <t>EMP0114</t>
  </si>
  <si>
    <t>Reem Alnasser</t>
  </si>
  <si>
    <t>EMP0115</t>
  </si>
  <si>
    <t>Rayan Alamri</t>
  </si>
  <si>
    <t>Content Specialist</t>
  </si>
  <si>
    <t>EMP0116</t>
  </si>
  <si>
    <t>Saad Alansari</t>
  </si>
  <si>
    <t>EMP0117</t>
  </si>
  <si>
    <t>Hanan Alfarsi</t>
  </si>
  <si>
    <t>EMP0118</t>
  </si>
  <si>
    <t>Mohammed Alsubaie</t>
  </si>
  <si>
    <t>EMP0119</t>
  </si>
  <si>
    <t>Huda Alshammari</t>
  </si>
  <si>
    <t>EMP0120</t>
  </si>
  <si>
    <t>Reem Almalki</t>
  </si>
  <si>
    <t>EMP0121</t>
  </si>
  <si>
    <t>Nada Aljuhani</t>
  </si>
  <si>
    <t>EMP0122</t>
  </si>
  <si>
    <t>Ali Alghamdi</t>
  </si>
  <si>
    <t>EMP0123</t>
  </si>
  <si>
    <t>Fatimah Aljuhani</t>
  </si>
  <si>
    <t>EMP0124</t>
  </si>
  <si>
    <t>EMP0125</t>
  </si>
  <si>
    <t>EMP0126</t>
  </si>
  <si>
    <t>Rayan Almalki</t>
  </si>
  <si>
    <t>EMP0127</t>
  </si>
  <si>
    <t>Lina Alfarsi</t>
  </si>
  <si>
    <t>EMP0128</t>
  </si>
  <si>
    <t>Majed Alansari</t>
  </si>
  <si>
    <t>EMP0129</t>
  </si>
  <si>
    <t>Hamad Alzahrani</t>
  </si>
  <si>
    <t>EMP0130</t>
  </si>
  <si>
    <t>Turki Alzubaidi</t>
  </si>
  <si>
    <t>Office Coordinator</t>
  </si>
  <si>
    <t>EMP0131</t>
  </si>
  <si>
    <t>Raghad Aljuhani</t>
  </si>
  <si>
    <t>HR Assistant</t>
  </si>
  <si>
    <t>EMP0132</t>
  </si>
  <si>
    <t>Maha Alansari</t>
  </si>
  <si>
    <t>EMP0133</t>
  </si>
  <si>
    <t>Maryam Alzubaidi</t>
  </si>
  <si>
    <t>EMP0134</t>
  </si>
  <si>
    <t>Rana Alhazmi</t>
  </si>
  <si>
    <t>EMP0135</t>
  </si>
  <si>
    <t>Rayan Alghamdi</t>
  </si>
  <si>
    <t>EMP0136</t>
  </si>
  <si>
    <t>Majed Alamri</t>
  </si>
  <si>
    <t>EMP0137</t>
  </si>
  <si>
    <t>Aisha Alghamdi</t>
  </si>
  <si>
    <t>EMP0138</t>
  </si>
  <si>
    <t>Raghad Alhazmi</t>
  </si>
  <si>
    <t>EMP0139</t>
  </si>
  <si>
    <t>EMP0140</t>
  </si>
  <si>
    <t>Bader Alshammari</t>
  </si>
  <si>
    <t>EMP0141</t>
  </si>
  <si>
    <t>Sultan Alhazmi</t>
  </si>
  <si>
    <t>EMP0142</t>
  </si>
  <si>
    <t>Abdullah Alshammari</t>
  </si>
  <si>
    <t>EMP0143</t>
  </si>
  <si>
    <t>EMP0144</t>
  </si>
  <si>
    <t>Ali Alrashidi</t>
  </si>
  <si>
    <t>EMP0145</t>
  </si>
  <si>
    <t>Bader Alotaibi</t>
  </si>
  <si>
    <t>EMP0146</t>
  </si>
  <si>
    <t>EMP0147</t>
  </si>
  <si>
    <t>Bader Alharthi</t>
  </si>
  <si>
    <t>EMP0148</t>
  </si>
  <si>
    <t>Reem Alrashidi</t>
  </si>
  <si>
    <t>EMP0149</t>
  </si>
  <si>
    <t>Maryam Alamri</t>
  </si>
  <si>
    <t>EMP0150</t>
  </si>
  <si>
    <t>Reem Alsharif</t>
  </si>
  <si>
    <t>EMP0151</t>
  </si>
  <si>
    <t>EMP0152</t>
  </si>
  <si>
    <t>EMP0153</t>
  </si>
  <si>
    <t>EMP0154</t>
  </si>
  <si>
    <t>Sultan Alsharif</t>
  </si>
  <si>
    <t>EMP0155</t>
  </si>
  <si>
    <t>Reem Alharbi</t>
  </si>
  <si>
    <t>EMP0156</t>
  </si>
  <si>
    <t>Turki Alsubaie</t>
  </si>
  <si>
    <t>EMP0157</t>
  </si>
  <si>
    <t>EMP0158</t>
  </si>
  <si>
    <t>Omar Alamri</t>
  </si>
  <si>
    <t>EMP0159</t>
  </si>
  <si>
    <t>Amal Alansari</t>
  </si>
  <si>
    <t>EMP0160</t>
  </si>
  <si>
    <t>EMP0161</t>
  </si>
  <si>
    <t>Majed Alnasser</t>
  </si>
  <si>
    <t>EMP0162</t>
  </si>
  <si>
    <t>Mohammed Alansari</t>
  </si>
  <si>
    <t>EMP0163</t>
  </si>
  <si>
    <t>Ahmed Alfarsi</t>
  </si>
  <si>
    <t>EMP0164</t>
  </si>
  <si>
    <t>Nada Alamri</t>
  </si>
  <si>
    <t>EMP0165</t>
  </si>
  <si>
    <t>Fahad Aljuhani</t>
  </si>
  <si>
    <t>EMP0166</t>
  </si>
  <si>
    <t>Hanan Alharbi</t>
  </si>
  <si>
    <t>EMP0167</t>
  </si>
  <si>
    <t>Hala Almutairi</t>
  </si>
  <si>
    <t>EMP0168</t>
  </si>
  <si>
    <t>Dana Alhazmi</t>
  </si>
  <si>
    <t>EMP0169</t>
  </si>
  <si>
    <t>Saad Alshammari</t>
  </si>
  <si>
    <t>EMP0170</t>
  </si>
  <si>
    <t>Huda Alzahrani</t>
  </si>
  <si>
    <t>EMP0171</t>
  </si>
  <si>
    <t>Saleh Alrashidi</t>
  </si>
  <si>
    <t>EMP0172</t>
  </si>
  <si>
    <t>Ibrahim Alzubaidi</t>
  </si>
  <si>
    <t>EMP0173</t>
  </si>
  <si>
    <t>Saleh Alshammari</t>
  </si>
  <si>
    <t>EMP0174</t>
  </si>
  <si>
    <t>Hamad Alnasser</t>
  </si>
  <si>
    <t>EMP0175</t>
  </si>
  <si>
    <t>Fahad Alharbi</t>
  </si>
  <si>
    <t>EMP0176</t>
  </si>
  <si>
    <t>Ibrahim Alqahtani</t>
  </si>
  <si>
    <t>EMP0177</t>
  </si>
  <si>
    <t>Saad Alotaibi</t>
  </si>
  <si>
    <t>EMP0178</t>
  </si>
  <si>
    <t>Majed Alotaibi</t>
  </si>
  <si>
    <t>EMP0179</t>
  </si>
  <si>
    <t>Khalid Almalki</t>
  </si>
  <si>
    <t>EMP0180</t>
  </si>
  <si>
    <t>EMP0181</t>
  </si>
  <si>
    <t>Hala Alharthi</t>
  </si>
  <si>
    <t>EMP0182</t>
  </si>
  <si>
    <t>Sara Alharbi</t>
  </si>
  <si>
    <t>EMP0183</t>
  </si>
  <si>
    <t>Bader Alnasser</t>
  </si>
  <si>
    <t>EMP0184</t>
  </si>
  <si>
    <t>Aisha Alfarsi</t>
  </si>
  <si>
    <t>EMP0185</t>
  </si>
  <si>
    <t>Faisal Alzahrani</t>
  </si>
  <si>
    <t>EMP0186</t>
  </si>
  <si>
    <t>Abeer Alsharif</t>
  </si>
  <si>
    <t>EMP0187</t>
  </si>
  <si>
    <t>Yousef Alamri</t>
  </si>
  <si>
    <t>EMP0188</t>
  </si>
  <si>
    <t>Khalid Alghamdi</t>
  </si>
  <si>
    <t>EMP0189</t>
  </si>
  <si>
    <t>Raghad Alshammari</t>
  </si>
  <si>
    <t>EMP0190</t>
  </si>
  <si>
    <t>Hanan Alotaibi</t>
  </si>
  <si>
    <t>EMP0191</t>
  </si>
  <si>
    <t>EMP0192</t>
  </si>
  <si>
    <t>Raghad Alzahrani</t>
  </si>
  <si>
    <t>EMP0193</t>
  </si>
  <si>
    <t>Omar Alzubaidi</t>
  </si>
  <si>
    <t>EMP0194</t>
  </si>
  <si>
    <t>Bader Alzubaidi</t>
  </si>
  <si>
    <t>EMP0195</t>
  </si>
  <si>
    <t>Sultan Almalki</t>
  </si>
  <si>
    <t>EMP0196</t>
  </si>
  <si>
    <t>Ibrahim Alrashidi</t>
  </si>
  <si>
    <t>EMP0197</t>
  </si>
  <si>
    <t>EMP0198</t>
  </si>
  <si>
    <t>Ibrahim Alsharif</t>
  </si>
  <si>
    <t>EMP0199</t>
  </si>
  <si>
    <t>EMP0200</t>
  </si>
  <si>
    <t>Bader Almalki</t>
  </si>
  <si>
    <t>EMP0201</t>
  </si>
  <si>
    <t>Abdullah Alghamdi</t>
  </si>
  <si>
    <t>EMP0202</t>
  </si>
  <si>
    <t>Hamad Alghamdi</t>
  </si>
  <si>
    <t>HR Manager</t>
  </si>
  <si>
    <t>EMP0203</t>
  </si>
  <si>
    <t>Lama Aljuhani</t>
  </si>
  <si>
    <t>EMP0204</t>
  </si>
  <si>
    <t>Rana Alghamdi</t>
  </si>
  <si>
    <t>EMP0205</t>
  </si>
  <si>
    <t>Reem Alamri</t>
  </si>
  <si>
    <t>EMP0206</t>
  </si>
  <si>
    <t>Hassan Alsaadi</t>
  </si>
  <si>
    <t>EMP0207</t>
  </si>
  <si>
    <t>Raghad Alamri</t>
  </si>
  <si>
    <t>EMP0208</t>
  </si>
  <si>
    <t>Sara Alharthi</t>
  </si>
  <si>
    <t>EMP0209</t>
  </si>
  <si>
    <t>Maryam Alsubaie</t>
  </si>
  <si>
    <t>EMP0210</t>
  </si>
  <si>
    <t>Faisal Alhazmi</t>
  </si>
  <si>
    <t>EMP0211</t>
  </si>
  <si>
    <t>Majed Alghamdi</t>
  </si>
  <si>
    <t>EMP0212</t>
  </si>
  <si>
    <t>EMP0213</t>
  </si>
  <si>
    <t>Rayan Alqahtani</t>
  </si>
  <si>
    <t>EMP0214</t>
  </si>
  <si>
    <t>Saleh Alharthi</t>
  </si>
  <si>
    <t>Marketing Analyst</t>
  </si>
  <si>
    <t>EMP0215</t>
  </si>
  <si>
    <t>EMP0216</t>
  </si>
  <si>
    <t>Ali Alnasser</t>
  </si>
  <si>
    <t>EMP0217</t>
  </si>
  <si>
    <t>Omar Alsaadi</t>
  </si>
  <si>
    <t>EMP0218</t>
  </si>
  <si>
    <t>Turki Alsaadi</t>
  </si>
  <si>
    <t>EMP0219</t>
  </si>
  <si>
    <t>Nasser Alzahrani</t>
  </si>
  <si>
    <t>EMP0220</t>
  </si>
  <si>
    <t>Mohammed Alhazmi</t>
  </si>
  <si>
    <t>EMP0221</t>
  </si>
  <si>
    <t>Majed Alsubaie</t>
  </si>
  <si>
    <t>EMP0222</t>
  </si>
  <si>
    <t>Fahad Alghamdi</t>
  </si>
  <si>
    <t>EMP0223</t>
  </si>
  <si>
    <t>Sultan Alsaadi</t>
  </si>
  <si>
    <t>EMP0224</t>
  </si>
  <si>
    <t>Nasser Alamri</t>
  </si>
  <si>
    <t>EMP0225</t>
  </si>
  <si>
    <t>Aisha Alamri</t>
  </si>
  <si>
    <t>EMP0226</t>
  </si>
  <si>
    <t>EMP0227</t>
  </si>
  <si>
    <t>Khalid Alhazmi</t>
  </si>
  <si>
    <t>EMP0228</t>
  </si>
  <si>
    <t>EMP0229</t>
  </si>
  <si>
    <t>EMP0230</t>
  </si>
  <si>
    <t>EMP0231</t>
  </si>
  <si>
    <t>Ali Alharthi</t>
  </si>
  <si>
    <t>EMP0232</t>
  </si>
  <si>
    <t>Rayan Aljuhani</t>
  </si>
  <si>
    <t>EMP0233</t>
  </si>
  <si>
    <t>Dana Alrashidi</t>
  </si>
  <si>
    <t>EMP0234</t>
  </si>
  <si>
    <t>Majed Alfarsi</t>
  </si>
  <si>
    <t>EMP0235</t>
  </si>
  <si>
    <t>Fahad Alotaibi</t>
  </si>
  <si>
    <t>EMP0236</t>
  </si>
  <si>
    <t>EMP0237</t>
  </si>
  <si>
    <t>Nada Alghamdi</t>
  </si>
  <si>
    <t>EMP0238</t>
  </si>
  <si>
    <t>EMP0239</t>
  </si>
  <si>
    <t>EMP0240</t>
  </si>
  <si>
    <t>Hala Alrashidi</t>
  </si>
  <si>
    <t>EMP0241</t>
  </si>
  <si>
    <t>Noura Alghamdi</t>
  </si>
  <si>
    <t>EMP0242</t>
  </si>
  <si>
    <t>Ahmed Alamri</t>
  </si>
  <si>
    <t>EMP0243</t>
  </si>
  <si>
    <t>Turki Alansari</t>
  </si>
  <si>
    <t>EMP0244</t>
  </si>
  <si>
    <t>EMP0245</t>
  </si>
  <si>
    <t>Omar Alfarsi</t>
  </si>
  <si>
    <t>Sales Manager</t>
  </si>
  <si>
    <t>EMP0246</t>
  </si>
  <si>
    <t>Turki Alsharif</t>
  </si>
  <si>
    <t>EMP0247</t>
  </si>
  <si>
    <t>Hanan Alzubaidi</t>
  </si>
  <si>
    <t>EMP0248</t>
  </si>
  <si>
    <t>Hamad Almutairi</t>
  </si>
  <si>
    <t>EMP0249</t>
  </si>
  <si>
    <t>EMP0250</t>
  </si>
  <si>
    <t>EMP0251</t>
  </si>
  <si>
    <t>Sara Alsharif</t>
  </si>
  <si>
    <t>EMP0252</t>
  </si>
  <si>
    <t>EMP0253</t>
  </si>
  <si>
    <t>EMP0254</t>
  </si>
  <si>
    <t>EMP0255</t>
  </si>
  <si>
    <t>Huda Alnasser</t>
  </si>
  <si>
    <t>EMP0256</t>
  </si>
  <si>
    <t>Huda Alamri</t>
  </si>
  <si>
    <t>EMP0257</t>
  </si>
  <si>
    <t>Majed Alharthi</t>
  </si>
  <si>
    <t>EMP0258</t>
  </si>
  <si>
    <t>EMP0259</t>
  </si>
  <si>
    <t>EMP0260</t>
  </si>
  <si>
    <t>Faisal Alansari</t>
  </si>
  <si>
    <t>EMP0261</t>
  </si>
  <si>
    <t>Abdullah Alzubaidi</t>
  </si>
  <si>
    <t>EMP0262</t>
  </si>
  <si>
    <t>Abdullah Alrashidi</t>
  </si>
  <si>
    <t>EMP0263</t>
  </si>
  <si>
    <t>Abdullah Alzahrani</t>
  </si>
  <si>
    <t>EMP0264</t>
  </si>
  <si>
    <t>Aisha Almutairi</t>
  </si>
  <si>
    <t>EMP0265</t>
  </si>
  <si>
    <t>EMP0266</t>
  </si>
  <si>
    <t>Rayan Alrashidi</t>
  </si>
  <si>
    <t>EMP0267</t>
  </si>
  <si>
    <t>Omar Almutairi</t>
  </si>
  <si>
    <t>EMP0268</t>
  </si>
  <si>
    <t>Faisal Alzubaidi</t>
  </si>
  <si>
    <t>EMP0269</t>
  </si>
  <si>
    <t>Yousef Alansari</t>
  </si>
  <si>
    <t>EMP0270</t>
  </si>
  <si>
    <t>Joud Alzahrani</t>
  </si>
  <si>
    <t>EMP0271</t>
  </si>
  <si>
    <t>Bader Alqahtani</t>
  </si>
  <si>
    <t>EMP0272</t>
  </si>
  <si>
    <t>Yousef Almutairi</t>
  </si>
  <si>
    <t>EMP0273</t>
  </si>
  <si>
    <t>Maryam Alzahrani</t>
  </si>
  <si>
    <t>EMP0274</t>
  </si>
  <si>
    <t>Reem Alhazmi</t>
  </si>
  <si>
    <t>EMP0275</t>
  </si>
  <si>
    <t>Nasser Alfarsi</t>
  </si>
  <si>
    <t>EMP0276</t>
  </si>
  <si>
    <t>EMP0277</t>
  </si>
  <si>
    <t>Hassan Alhazmi</t>
  </si>
  <si>
    <t>EMP0278</t>
  </si>
  <si>
    <t>EMP0279</t>
  </si>
  <si>
    <t>Hanan Alsharif</t>
  </si>
  <si>
    <t>EMP0280</t>
  </si>
  <si>
    <t>Ibrahim Almutairi</t>
  </si>
  <si>
    <t>EMP0281</t>
  </si>
  <si>
    <t>EMP0282</t>
  </si>
  <si>
    <t>Saleh Almutairi</t>
  </si>
  <si>
    <t>EMP0283</t>
  </si>
  <si>
    <t>Abdullah Alotaibi</t>
  </si>
  <si>
    <t>EMP0284</t>
  </si>
  <si>
    <t>Lina Alharbi</t>
  </si>
  <si>
    <t>EMP0285</t>
  </si>
  <si>
    <t>Sultan Alharbi</t>
  </si>
  <si>
    <t>EMP0286</t>
  </si>
  <si>
    <t>Hala Alsaadi</t>
  </si>
  <si>
    <t>EMP0287</t>
  </si>
  <si>
    <t>Fatimah Alamri</t>
  </si>
  <si>
    <t>EMP0288</t>
  </si>
  <si>
    <t>EMP0289</t>
  </si>
  <si>
    <t>Yousef Alharthi</t>
  </si>
  <si>
    <t>EMP0290</t>
  </si>
  <si>
    <t>Ahmed Alhazmi</t>
  </si>
  <si>
    <t>EMP0291</t>
  </si>
  <si>
    <t>EMP0292</t>
  </si>
  <si>
    <t>Shahad Alfarsi</t>
  </si>
  <si>
    <t>EMP0293</t>
  </si>
  <si>
    <t>EMP0294</t>
  </si>
  <si>
    <t>Hala Alnasser</t>
  </si>
  <si>
    <t>EMP0295</t>
  </si>
  <si>
    <t>EMP0296</t>
  </si>
  <si>
    <t>Abeer Alzubaidi</t>
  </si>
  <si>
    <t>EMP0297</t>
  </si>
  <si>
    <t>Lina Alzahrani</t>
  </si>
  <si>
    <t>EMP0298</t>
  </si>
  <si>
    <t>Yousef Alhazmi</t>
  </si>
  <si>
    <t>EMP0299</t>
  </si>
  <si>
    <t>EMP0300</t>
  </si>
  <si>
    <t>Aisha Alzubaidi</t>
  </si>
  <si>
    <t>EMP0301</t>
  </si>
  <si>
    <t>Noura Alqahtani</t>
  </si>
  <si>
    <t>EMP0302</t>
  </si>
  <si>
    <t>Hamad Alfarsi</t>
  </si>
  <si>
    <t>EMP0303</t>
  </si>
  <si>
    <t>Abdullah Alfarsi</t>
  </si>
  <si>
    <t>EMP0304</t>
  </si>
  <si>
    <t>Omar Almalki</t>
  </si>
  <si>
    <t>EMP0305</t>
  </si>
  <si>
    <t>EMP0306</t>
  </si>
  <si>
    <t>Sultan Alfarsi</t>
  </si>
  <si>
    <t>EMP0307</t>
  </si>
  <si>
    <t>Ahmed Alsharif</t>
  </si>
  <si>
    <t>EMP0308</t>
  </si>
  <si>
    <t>Sara Alotaibi</t>
  </si>
  <si>
    <t>EMP0309</t>
  </si>
  <si>
    <t>Shahad Alshammari</t>
  </si>
  <si>
    <t>EMP0310</t>
  </si>
  <si>
    <t>EMP0311</t>
  </si>
  <si>
    <t>Saleh Alharbi</t>
  </si>
  <si>
    <t>EMP0312</t>
  </si>
  <si>
    <t>EMP0313</t>
  </si>
  <si>
    <t>EMP0314</t>
  </si>
  <si>
    <t>Rana Alzahrani</t>
  </si>
  <si>
    <t>EMP0315</t>
  </si>
  <si>
    <t>Ahmed Alsubaie</t>
  </si>
  <si>
    <t>EMP0316</t>
  </si>
  <si>
    <t>EMP0317</t>
  </si>
  <si>
    <t>Bader Alfarsi</t>
  </si>
  <si>
    <t>EMP0318</t>
  </si>
  <si>
    <t>Ahmed Alharthi</t>
  </si>
  <si>
    <t>EMP0319</t>
  </si>
  <si>
    <t>Faisal Alharbi</t>
  </si>
  <si>
    <t>EMP0320</t>
  </si>
  <si>
    <t>Hassan Alharbi</t>
  </si>
  <si>
    <t>EMP0321</t>
  </si>
  <si>
    <t>EMP0322</t>
  </si>
  <si>
    <t>Fatimah Alqahtani</t>
  </si>
  <si>
    <t>EMP0323</t>
  </si>
  <si>
    <t>Faisal Alfarsi</t>
  </si>
  <si>
    <t>EMP0324</t>
  </si>
  <si>
    <t>EMP0325</t>
  </si>
  <si>
    <t>EMP0326</t>
  </si>
  <si>
    <t>Lama Alhazmi</t>
  </si>
  <si>
    <t>EMP0327</t>
  </si>
  <si>
    <t>Lina Almalki</t>
  </si>
  <si>
    <t>EMP0328</t>
  </si>
  <si>
    <t>Noura Alsaadi</t>
  </si>
  <si>
    <t>EMP0329</t>
  </si>
  <si>
    <t>Nasser Alshammari</t>
  </si>
  <si>
    <t>EMP0330</t>
  </si>
  <si>
    <t>Saleh Alqahtani</t>
  </si>
  <si>
    <t>EMP0331</t>
  </si>
  <si>
    <t>Fatimah Alsaadi</t>
  </si>
  <si>
    <t>EMP0332</t>
  </si>
  <si>
    <t>EMP0333</t>
  </si>
  <si>
    <t>Fatimah Alzahrani</t>
  </si>
  <si>
    <t>EMP0334</t>
  </si>
  <si>
    <t>EMP0335</t>
  </si>
  <si>
    <t>EMP0336</t>
  </si>
  <si>
    <t>Fatimah Alharbi</t>
  </si>
  <si>
    <t>EMP0337</t>
  </si>
  <si>
    <t>EMP0338</t>
  </si>
  <si>
    <t>EMP0339</t>
  </si>
  <si>
    <t>Huda Almalki</t>
  </si>
  <si>
    <t>EMP0340</t>
  </si>
  <si>
    <t>Hassan Alnasser</t>
  </si>
  <si>
    <t>EMP0341</t>
  </si>
  <si>
    <t>Hassan Alshammari</t>
  </si>
  <si>
    <t>EMP0342</t>
  </si>
  <si>
    <t>Ali Alhazmi</t>
  </si>
  <si>
    <t>EMP0343</t>
  </si>
  <si>
    <t>Saleh Alamri</t>
  </si>
  <si>
    <t>EMP0344</t>
  </si>
  <si>
    <t>Hala Alharbi</t>
  </si>
  <si>
    <t>EMP0345</t>
  </si>
  <si>
    <t>Khalid Alharbi</t>
  </si>
  <si>
    <t>EMP0346</t>
  </si>
  <si>
    <t>Bader Alamri</t>
  </si>
  <si>
    <t>EMP0347</t>
  </si>
  <si>
    <t>Ahmed Almalki</t>
  </si>
  <si>
    <t>EMP0348</t>
  </si>
  <si>
    <t>EMP0349</t>
  </si>
  <si>
    <t>EMP0350</t>
  </si>
  <si>
    <t>Saleh Alsaadi</t>
  </si>
  <si>
    <t>EMP0351</t>
  </si>
  <si>
    <t>Fatimah Alnasser</t>
  </si>
  <si>
    <t>EMP0352</t>
  </si>
  <si>
    <t>Fatimah Alfarsi</t>
  </si>
  <si>
    <t>EMP0353</t>
  </si>
  <si>
    <t>EMP0354</t>
  </si>
  <si>
    <t>Ali Alqahtani</t>
  </si>
  <si>
    <t>EMP0355</t>
  </si>
  <si>
    <t>Huda Alzubaidi</t>
  </si>
  <si>
    <t>EMP0356</t>
  </si>
  <si>
    <t>EMP0357</t>
  </si>
  <si>
    <t>Ibrahim Alzahrani</t>
  </si>
  <si>
    <t>EMP0358</t>
  </si>
  <si>
    <t>Lama Alqahtani</t>
  </si>
  <si>
    <t>EMP0359</t>
  </si>
  <si>
    <t>Khalid Alzahrani</t>
  </si>
  <si>
    <t>EMP0360</t>
  </si>
  <si>
    <t>Shahad Alamri</t>
  </si>
  <si>
    <t>EMP0361</t>
  </si>
  <si>
    <t>Bader Alrashidi</t>
  </si>
  <si>
    <t>EMP0362</t>
  </si>
  <si>
    <t>Ali Alotaibi</t>
  </si>
  <si>
    <t>EMP0363</t>
  </si>
  <si>
    <t>EMP0364</t>
  </si>
  <si>
    <t>Saad Alsubaie</t>
  </si>
  <si>
    <t>EMP0365</t>
  </si>
  <si>
    <t>Mohammed Alharthi</t>
  </si>
  <si>
    <t>EMP0366</t>
  </si>
  <si>
    <t>EMP0367</t>
  </si>
  <si>
    <t>EMP0368</t>
  </si>
  <si>
    <t>EMP0369</t>
  </si>
  <si>
    <t>Fahad Almalki</t>
  </si>
  <si>
    <t>EMP0370</t>
  </si>
  <si>
    <t>Rayan Alsharif</t>
  </si>
  <si>
    <t>EMP0371</t>
  </si>
  <si>
    <t>Hassan Almalki</t>
  </si>
  <si>
    <t>EMP0372</t>
  </si>
  <si>
    <t>Lina Aljuhani</t>
  </si>
  <si>
    <t>EMP0373</t>
  </si>
  <si>
    <t>Ahmed Almutairi</t>
  </si>
  <si>
    <t>EMP0374</t>
  </si>
  <si>
    <t>Ali Alansari</t>
  </si>
  <si>
    <t>EMP0375</t>
  </si>
  <si>
    <t>Nada Alansari</t>
  </si>
  <si>
    <t>EMP0376</t>
  </si>
  <si>
    <t>Ibrahim Alansari</t>
  </si>
  <si>
    <t>EMP0377</t>
  </si>
  <si>
    <t>Raghad Alrashidi</t>
  </si>
  <si>
    <t>EMP0378</t>
  </si>
  <si>
    <t>EMP0379</t>
  </si>
  <si>
    <t>Mohammed Alsaadi</t>
  </si>
  <si>
    <t>EMP0380</t>
  </si>
  <si>
    <t>Hassan Alqahtani</t>
  </si>
  <si>
    <t>EMP0381</t>
  </si>
  <si>
    <t>Sultan Alsubaie</t>
  </si>
  <si>
    <t>EMP0382</t>
  </si>
  <si>
    <t>Bader Alharbi</t>
  </si>
  <si>
    <t>EMP0383</t>
  </si>
  <si>
    <t>Hamad Alqahtani</t>
  </si>
  <si>
    <t>EMP0384</t>
  </si>
  <si>
    <t>Shahad Alhazmi</t>
  </si>
  <si>
    <t>EMP0385</t>
  </si>
  <si>
    <t>Lama Alsharif</t>
  </si>
  <si>
    <t>EMP0386</t>
  </si>
  <si>
    <t>EMP0387</t>
  </si>
  <si>
    <t>Lina Alghamdi</t>
  </si>
  <si>
    <t>EMP0388</t>
  </si>
  <si>
    <t>EMP0389</t>
  </si>
  <si>
    <t>Majed Alzahrani</t>
  </si>
  <si>
    <t>EMP0390</t>
  </si>
  <si>
    <t>Joud Alansari</t>
  </si>
  <si>
    <t>EMP0391</t>
  </si>
  <si>
    <t>Ahmed Alotaibi</t>
  </si>
  <si>
    <t>EMP0392</t>
  </si>
  <si>
    <t>EMP0393</t>
  </si>
  <si>
    <t>Lama Alansari</t>
  </si>
  <si>
    <t>EMP0394</t>
  </si>
  <si>
    <t>Hala Alzahrani</t>
  </si>
  <si>
    <t>EMP0395</t>
  </si>
  <si>
    <t>Mohammed Alzubaidi</t>
  </si>
  <si>
    <t>EMP0396</t>
  </si>
  <si>
    <t>Nasser Alsaadi</t>
  </si>
  <si>
    <t>EMP0397</t>
  </si>
  <si>
    <t>Khalid Alsharif</t>
  </si>
  <si>
    <t>EMP0398</t>
  </si>
  <si>
    <t>Saleh Alzubaidi</t>
  </si>
  <si>
    <t>EMP0399</t>
  </si>
  <si>
    <t>Saad Alsharif</t>
  </si>
  <si>
    <t>EMP0400</t>
  </si>
  <si>
    <t>Turki Alfarsi</t>
  </si>
  <si>
    <t>EMP0401</t>
  </si>
  <si>
    <t>Yousef Alotaibi</t>
  </si>
  <si>
    <t>EMP0402</t>
  </si>
  <si>
    <t>EMP0403</t>
  </si>
  <si>
    <t>Rana Alzubaidi</t>
  </si>
  <si>
    <t>EMP0404</t>
  </si>
  <si>
    <t>EMP0405</t>
  </si>
  <si>
    <t>Sara Alfarsi</t>
  </si>
  <si>
    <t>EMP0406</t>
  </si>
  <si>
    <t>Khalid Almutairi</t>
  </si>
  <si>
    <t>EMP0407</t>
  </si>
  <si>
    <t>Sara Alghamdi</t>
  </si>
  <si>
    <t>EMP0408</t>
  </si>
  <si>
    <t>Saleh Alsharif</t>
  </si>
  <si>
    <t>EMP0409</t>
  </si>
  <si>
    <t>Hamad Alansari</t>
  </si>
  <si>
    <t>EMP0410</t>
  </si>
  <si>
    <t>Nada Alzahrani</t>
  </si>
  <si>
    <t>EMP0411</t>
  </si>
  <si>
    <t>Mohammed Alotaibi</t>
  </si>
  <si>
    <t>EMP0412</t>
  </si>
  <si>
    <t>Rayan Alshammari</t>
  </si>
  <si>
    <t>EMP0413</t>
  </si>
  <si>
    <t>EMP0414</t>
  </si>
  <si>
    <t>EMP0415</t>
  </si>
  <si>
    <t>EMP0416</t>
  </si>
  <si>
    <t>Nasser Alharbi</t>
  </si>
  <si>
    <t>EMP0417</t>
  </si>
  <si>
    <t>Joud Almalki</t>
  </si>
  <si>
    <t>EMP0418</t>
  </si>
  <si>
    <t>Fahad Alamri</t>
  </si>
  <si>
    <t>EMP0419</t>
  </si>
  <si>
    <t>Sara Alsubaie</t>
  </si>
  <si>
    <t>EMP0420</t>
  </si>
  <si>
    <t>EMP0421</t>
  </si>
  <si>
    <t>Yousef Almalki</t>
  </si>
  <si>
    <t>EMP0422</t>
  </si>
  <si>
    <t>Ali Alsubaie</t>
  </si>
  <si>
    <t>EMP0423</t>
  </si>
  <si>
    <t>Omar Alzahrani</t>
  </si>
  <si>
    <t>EMP0424</t>
  </si>
  <si>
    <t>Hala Alshammari</t>
  </si>
  <si>
    <t>EMP0425</t>
  </si>
  <si>
    <t>EMP0426</t>
  </si>
  <si>
    <t>EMP0427</t>
  </si>
  <si>
    <t>EMP0428</t>
  </si>
  <si>
    <t>Khalid Alansari</t>
  </si>
  <si>
    <t>EMP0429</t>
  </si>
  <si>
    <t>EMP0430</t>
  </si>
  <si>
    <t>EMP0431</t>
  </si>
  <si>
    <t>EMP0432</t>
  </si>
  <si>
    <t>Maryam Alshammari</t>
  </si>
  <si>
    <t>EMP0433</t>
  </si>
  <si>
    <t>EMP0434</t>
  </si>
  <si>
    <t>Maryam Almutairi</t>
  </si>
  <si>
    <t>EMP0435</t>
  </si>
  <si>
    <t>Ibrahim Alnasser</t>
  </si>
  <si>
    <t>EMP0436</t>
  </si>
  <si>
    <t>EMP0437</t>
  </si>
  <si>
    <t>Ibrahim Aljuhani</t>
  </si>
  <si>
    <t>EMP0438</t>
  </si>
  <si>
    <t>EMP0439</t>
  </si>
  <si>
    <t>EMP0440</t>
  </si>
  <si>
    <t>Hassan Alfarsi</t>
  </si>
  <si>
    <t>EMP0441</t>
  </si>
  <si>
    <t>EMP0442</t>
  </si>
  <si>
    <t>EMP0443</t>
  </si>
  <si>
    <t>EMP0444</t>
  </si>
  <si>
    <t>EMP0445</t>
  </si>
  <si>
    <t>Yousef Alsaadi</t>
  </si>
  <si>
    <t>EMP0446</t>
  </si>
  <si>
    <t>EMP0447</t>
  </si>
  <si>
    <t>EMP0448</t>
  </si>
  <si>
    <t>EMP0449</t>
  </si>
  <si>
    <t>Sara Alsaadi</t>
  </si>
  <si>
    <t>EMP0450</t>
  </si>
  <si>
    <t>EMP0451</t>
  </si>
  <si>
    <t>EMP0452</t>
  </si>
  <si>
    <t>Nasser Alsubaie</t>
  </si>
  <si>
    <t>EMP0453</t>
  </si>
  <si>
    <t>Abdullah Alqahtani</t>
  </si>
  <si>
    <t>EMP0454</t>
  </si>
  <si>
    <t>EMP0455</t>
  </si>
  <si>
    <t>Abeer Alansari</t>
  </si>
  <si>
    <t>EMP0456</t>
  </si>
  <si>
    <t>Majed Aljuhani</t>
  </si>
  <si>
    <t>EMP0457</t>
  </si>
  <si>
    <t>Nasser Almutairi</t>
  </si>
  <si>
    <t>EMP0458</t>
  </si>
  <si>
    <t>EMP0459</t>
  </si>
  <si>
    <t>Noura Alamri</t>
  </si>
  <si>
    <t>EMP0460</t>
  </si>
  <si>
    <t>Raghad Alfarsi</t>
  </si>
  <si>
    <t>EMP0461</t>
  </si>
  <si>
    <t>EMP0462</t>
  </si>
  <si>
    <t>EMP0463</t>
  </si>
  <si>
    <t>EMP0464</t>
  </si>
  <si>
    <t>Shahad Alghamdi</t>
  </si>
  <si>
    <t>EMP0465</t>
  </si>
  <si>
    <t>EMP0466</t>
  </si>
  <si>
    <t>Khalid Alsaadi</t>
  </si>
  <si>
    <t>EMP0467</t>
  </si>
  <si>
    <t>Saad Alharbi</t>
  </si>
  <si>
    <t>EMP0468</t>
  </si>
  <si>
    <t>EMP0469</t>
  </si>
  <si>
    <t>EMP0470</t>
  </si>
  <si>
    <t>EMP0471</t>
  </si>
  <si>
    <t>EMP0472</t>
  </si>
  <si>
    <t>Noura Aljuhani</t>
  </si>
  <si>
    <t>EMP0473</t>
  </si>
  <si>
    <t>EMP0474</t>
  </si>
  <si>
    <t>EMP0475</t>
  </si>
  <si>
    <t>Fahad Alharthi</t>
  </si>
  <si>
    <t>EMP0476</t>
  </si>
  <si>
    <t>EMP0477</t>
  </si>
  <si>
    <t>Sara Alrashidi</t>
  </si>
  <si>
    <t>EMP0478</t>
  </si>
  <si>
    <t>Rayan Alotaibi</t>
  </si>
  <si>
    <t>EMP0479</t>
  </si>
  <si>
    <t>Hala Alsharif</t>
  </si>
  <si>
    <t>EMP0480</t>
  </si>
  <si>
    <t>EMP0481</t>
  </si>
  <si>
    <t>Mohammed Aljuhani</t>
  </si>
  <si>
    <t>EMP0482</t>
  </si>
  <si>
    <t>EMP0483</t>
  </si>
  <si>
    <t>Abdullah Almutairi</t>
  </si>
  <si>
    <t>EMP0484</t>
  </si>
  <si>
    <t>Majed Alsaadi</t>
  </si>
  <si>
    <t>EMP0485</t>
  </si>
  <si>
    <t>EMP0486</t>
  </si>
  <si>
    <t>Huda Alotaibi</t>
  </si>
  <si>
    <t>EMP0487</t>
  </si>
  <si>
    <t>EMP0488</t>
  </si>
  <si>
    <t>EMP0489</t>
  </si>
  <si>
    <t>Rayan Alharbi</t>
  </si>
  <si>
    <t>EMP0490</t>
  </si>
  <si>
    <t>Majed Alsharif</t>
  </si>
  <si>
    <t>EMP0491</t>
  </si>
  <si>
    <t>Fahad Alfarsi</t>
  </si>
  <si>
    <t>EMP0492</t>
  </si>
  <si>
    <t>Lama Alshammari</t>
  </si>
  <si>
    <t>EMP0493</t>
  </si>
  <si>
    <t>EMP0494</t>
  </si>
  <si>
    <t>EMP0495</t>
  </si>
  <si>
    <t>EMP0496</t>
  </si>
  <si>
    <t>EMP0497</t>
  </si>
  <si>
    <t>EMP0498</t>
  </si>
  <si>
    <t>Joud Alamri</t>
  </si>
  <si>
    <t>EMP0499</t>
  </si>
  <si>
    <t>EMP0500</t>
  </si>
  <si>
    <t>Abeer Alnasser</t>
  </si>
  <si>
    <t>Count of Employee_ID</t>
  </si>
  <si>
    <t>Grand Total</t>
  </si>
  <si>
    <t>Average of Basic_Salary</t>
  </si>
  <si>
    <t>Average of Performance_Rating</t>
  </si>
  <si>
    <t>HR WORKFORCE ANALYTICS DASHBOARD</t>
  </si>
  <si>
    <t>TOTAL EMPLOYEES</t>
  </si>
  <si>
    <t>ACTIVE EMPLOYEES</t>
  </si>
  <si>
    <t>AVERAGE SALARY</t>
  </si>
  <si>
    <t>AVG 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</si>
</sst>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\ &quot;SAR&quot;"/>
  </numFmts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20"/>
      <color theme="0"/>
      <name val="Aptos Narrow"/>
      <scheme val="minor"/>
    </font>
    <font>
      <b/>
      <sz val="12"/>
      <color rgb="FF64748B"/>
      <name val="Aptos Narrow"/>
      <family val="2"/>
      <scheme val="minor"/>
    </font>
    <font>
      <b/>
      <sz val="16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155E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172" fontId="4" fillId="2" borderId="0" xfId="0" applyNumberFormat="1" applyFont="1" applyFill="1"/>
    <xf numFmtId="2" fontId="4" fillId="2" borderId="0" xfId="0" applyNumberFormat="1" applyFont="1" applyFill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</dxfs>
  <tableStyles count="0" defaultTableStyle="TableStyleMedium2" defaultPivotStyle="PivotStyleMedium9"/>
  <colors>
    <mruColors>
      <color rgb="FF64748B"/>
      <color rgb="FFFFFFFF"/>
      <color rgb="FF155E80"/>
      <color rgb="FFF3F6FA"/>
      <color rgb="FF92D9F5"/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[Employee_Data_Analysis.xlsx.xlsx]Headcount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'Headcount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'Headcount Analysis'!$A$4:$A$12</c:f>
              <c:strCache>
                <c:ptCount val="8"/>
                <c:pt idx="0">
                  <c:v>Operations</c:v>
                </c:pt>
                <c:pt idx="1">
                  <c:v>Finance</c:v>
                </c:pt>
                <c:pt idx="2">
                  <c:v>Customer Service</c:v>
                </c:pt>
                <c:pt idx="3">
                  <c:v>Information Technology</c:v>
                </c:pt>
                <c:pt idx="4">
                  <c:v>Sales</c:v>
                </c:pt>
                <c:pt idx="5">
                  <c:v>Human Resources</c:v>
                </c:pt>
                <c:pt idx="6">
                  <c:v>Marketing</c:v>
                </c:pt>
                <c:pt idx="7">
                  <c:v>Administration</c:v>
                </c:pt>
              </c:strCache>
            </c:strRef>
          </c:cat>
          <c:val>
            <c:numRef>
              <c:f>'Headcount Analysis'!$B$4:$B$12</c:f>
              <c:numCache>
                <c:formatCode>General</c:formatCode>
                <c:ptCount val="8"/>
                <c:pt idx="0">
                  <c:v>105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60</c:v>
                </c:pt>
                <c:pt idx="5">
                  <c:v>55</c:v>
                </c:pt>
                <c:pt idx="6">
                  <c:v>45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B-4A6C-84A9-A6D07E7951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1781255"/>
        <c:axId val="1721783303"/>
      </c:barChart>
      <c:catAx>
        <c:axId val="17217812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83303"/>
        <c:crosses val="autoZero"/>
        <c:auto val="1"/>
        <c:lblAlgn val="ctr"/>
        <c:lblOffset val="100"/>
        <c:noMultiLvlLbl val="0"/>
      </c:catAx>
      <c:valAx>
        <c:axId val="1721783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8125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[Employee_Data_Analysis.xlsx.xlsx]Salary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Analysis'!$J$7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Analysis'!$I$8:$I$16</c:f>
              <c:strCache>
                <c:ptCount val="8"/>
                <c:pt idx="0">
                  <c:v>Information Technology</c:v>
                </c:pt>
                <c:pt idx="1">
                  <c:v>Marketing</c:v>
                </c:pt>
                <c:pt idx="2">
                  <c:v>Operations</c:v>
                </c:pt>
                <c:pt idx="3">
                  <c:v>Sales</c:v>
                </c:pt>
                <c:pt idx="4">
                  <c:v>Finance</c:v>
                </c:pt>
                <c:pt idx="5">
                  <c:v>Human Resources</c:v>
                </c:pt>
                <c:pt idx="6">
                  <c:v>Administration</c:v>
                </c:pt>
                <c:pt idx="7">
                  <c:v>Customer Service</c:v>
                </c:pt>
              </c:strCache>
            </c:strRef>
          </c:cat>
          <c:val>
            <c:numRef>
              <c:f>'Salary Analysis'!$J$8:$J$16</c:f>
              <c:numCache>
                <c:formatCode>#,##0.00</c:formatCode>
                <c:ptCount val="8"/>
                <c:pt idx="0">
                  <c:v>12556.923076923076</c:v>
                </c:pt>
                <c:pt idx="1">
                  <c:v>11164.444444444445</c:v>
                </c:pt>
                <c:pt idx="2">
                  <c:v>11147.619047619048</c:v>
                </c:pt>
                <c:pt idx="3">
                  <c:v>10898.333333333334</c:v>
                </c:pt>
                <c:pt idx="4">
                  <c:v>10556.923076923076</c:v>
                </c:pt>
                <c:pt idx="5">
                  <c:v>10350.90909090909</c:v>
                </c:pt>
                <c:pt idx="6">
                  <c:v>9587.5</c:v>
                </c:pt>
                <c:pt idx="7">
                  <c:v>8938.461538461539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0-4615-A2EA-3AB6895E81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4104839"/>
        <c:axId val="1234106887"/>
      </c:barChart>
      <c:catAx>
        <c:axId val="12341048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06887"/>
        <c:crosses val="autoZero"/>
        <c:auto val="1"/>
        <c:lblAlgn val="ctr"/>
        <c:lblOffset val="100"/>
        <c:noMultiLvlLbl val="0"/>
      </c:catAx>
      <c:valAx>
        <c:axId val="1234106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0483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[Employee_Data_Analysis.xlsx.xlsx]Performance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Rating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8D0-470D-BEC1-87521F79B1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3.48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8D0-470D-BEC1-87521F79B1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3.43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8D0-470D-BEC1-87521F79B11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3.42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8D0-470D-BEC1-87521F79B11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3.42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8D0-470D-BEC1-87521F79B11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3.38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8D0-470D-BEC1-87521F79B11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3.32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8D0-470D-BEC1-87521F79B1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Analysis'!$A$2:$A$10</c:f>
              <c:strCache>
                <c:ptCount val="8"/>
                <c:pt idx="0">
                  <c:v>Human Resources</c:v>
                </c:pt>
                <c:pt idx="1">
                  <c:v>Administration</c:v>
                </c:pt>
                <c:pt idx="2">
                  <c:v>Information Technology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  <c:pt idx="6">
                  <c:v>Customer Service</c:v>
                </c:pt>
                <c:pt idx="7">
                  <c:v>Sales</c:v>
                </c:pt>
              </c:strCache>
            </c:strRef>
          </c:cat>
          <c:val>
            <c:numRef>
              <c:f>'Performance Analysis'!$B$2:$B$10</c:f>
              <c:numCache>
                <c:formatCode>0.00</c:formatCode>
                <c:ptCount val="8"/>
                <c:pt idx="0">
                  <c:v>3.6</c:v>
                </c:pt>
                <c:pt idx="1">
                  <c:v>3.5249999999999999</c:v>
                </c:pt>
                <c:pt idx="2">
                  <c:v>3.476923076923077</c:v>
                </c:pt>
                <c:pt idx="3">
                  <c:v>3.4307692307692306</c:v>
                </c:pt>
                <c:pt idx="4">
                  <c:v>3.4222222222222221</c:v>
                </c:pt>
                <c:pt idx="5">
                  <c:v>3.4190476190476189</c:v>
                </c:pt>
                <c:pt idx="6">
                  <c:v>3.3846153846153846</c:v>
                </c:pt>
                <c:pt idx="7">
                  <c:v>3.3166666666666669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0-470D-BEC1-87521F79B1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0152839"/>
        <c:axId val="1302477319"/>
      </c:barChart>
      <c:catAx>
        <c:axId val="13001528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77319"/>
        <c:crosses val="autoZero"/>
        <c:auto val="1"/>
        <c:lblAlgn val="ctr"/>
        <c:lblOffset val="100"/>
        <c:noMultiLvlLbl val="0"/>
      </c:catAx>
      <c:valAx>
        <c:axId val="1302477319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5283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[Employee_Data_Analysis.xlsx.xlsx]Employment Status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'Employment Status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'Employment Status Analysis'!$A$2:$A$5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On Leave</c:v>
                </c:pt>
              </c:strCache>
            </c:strRef>
          </c:cat>
          <c:val>
            <c:numRef>
              <c:f>'Employment Status Analysis'!$B$2:$B$5</c:f>
              <c:numCache>
                <c:formatCode>General</c:formatCode>
                <c:ptCount val="3"/>
                <c:pt idx="0">
                  <c:v>431</c:v>
                </c:pt>
                <c:pt idx="1">
                  <c:v>48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4-4122-A479-3B256AC56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[Employee_Data_Analysis.xlsx.xlsx]Gender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'Gender Analysis'!$A$2:$A$4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Analysis'!$B$2:$B$4</c:f>
              <c:numCache>
                <c:formatCode>General</c:formatCode>
                <c:ptCount val="2"/>
                <c:pt idx="0">
                  <c:v>176</c:v>
                </c:pt>
                <c:pt idx="1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2-43BE-BDFD-B6E92008C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[Employee_Data_Analysis.xlsx.xlsx]Location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Headcount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'Location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'Location Analysis'!$A$2:$A$7</c:f>
              <c:strCache>
                <c:ptCount val="5"/>
                <c:pt idx="0">
                  <c:v>Jeddah</c:v>
                </c:pt>
                <c:pt idx="1">
                  <c:v>Riyadh</c:v>
                </c:pt>
                <c:pt idx="2">
                  <c:v>Makkah</c:v>
                </c:pt>
                <c:pt idx="3">
                  <c:v>Dammam</c:v>
                </c:pt>
                <c:pt idx="4">
                  <c:v>Madinah</c:v>
                </c:pt>
              </c:strCache>
            </c:strRef>
          </c:cat>
          <c:val>
            <c:numRef>
              <c:f>'Location Analysis'!$B$2:$B$7</c:f>
              <c:numCache>
                <c:formatCode>General</c:formatCode>
                <c:ptCount val="5"/>
                <c:pt idx="0">
                  <c:v>228</c:v>
                </c:pt>
                <c:pt idx="1">
                  <c:v>131</c:v>
                </c:pt>
                <c:pt idx="2">
                  <c:v>59</c:v>
                </c:pt>
                <c:pt idx="3">
                  <c:v>57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D-4603-B675-3EB4FD01C0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14610439"/>
        <c:axId val="1414639111"/>
      </c:barChart>
      <c:valAx>
        <c:axId val="1414639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10439"/>
        <c:crosses val="max"/>
        <c:crossBetween val="between"/>
      </c:valAx>
      <c:catAx>
        <c:axId val="141461043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391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[Employee_Data_Analysis.xlsx.xlsx]Headcount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'Headcount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'Headcount Analysis'!$A$4:$A$12</c:f>
              <c:strCache>
                <c:ptCount val="8"/>
                <c:pt idx="0">
                  <c:v>Operations</c:v>
                </c:pt>
                <c:pt idx="1">
                  <c:v>Finance</c:v>
                </c:pt>
                <c:pt idx="2">
                  <c:v>Customer Service</c:v>
                </c:pt>
                <c:pt idx="3">
                  <c:v>Information Technology</c:v>
                </c:pt>
                <c:pt idx="4">
                  <c:v>Sales</c:v>
                </c:pt>
                <c:pt idx="5">
                  <c:v>Human Resources</c:v>
                </c:pt>
                <c:pt idx="6">
                  <c:v>Marketing</c:v>
                </c:pt>
                <c:pt idx="7">
                  <c:v>Administration</c:v>
                </c:pt>
              </c:strCache>
            </c:strRef>
          </c:cat>
          <c:val>
            <c:numRef>
              <c:f>'Headcount Analysis'!$B$4:$B$12</c:f>
              <c:numCache>
                <c:formatCode>General</c:formatCode>
                <c:ptCount val="8"/>
                <c:pt idx="0">
                  <c:v>105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60</c:v>
                </c:pt>
                <c:pt idx="5">
                  <c:v>55</c:v>
                </c:pt>
                <c:pt idx="6">
                  <c:v>45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7-4355-A887-1163836829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1781255"/>
        <c:axId val="1721783303"/>
      </c:barChart>
      <c:catAx>
        <c:axId val="17217812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83303"/>
        <c:crosses val="autoZero"/>
        <c:auto val="1"/>
        <c:lblAlgn val="ctr"/>
        <c:lblOffset val="100"/>
        <c:noMultiLvlLbl val="0"/>
      </c:catAx>
      <c:valAx>
        <c:axId val="1721783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8125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[Employee_Data_Analysis.xlsx.xlsx]Performance 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Rating by Department (Out of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3.32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31D-4517-92CD-BB9B89D486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3.48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31D-4517-92CD-BB9B89D486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3.43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31D-4517-92CD-BB9B89D486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3.42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31D-4517-92CD-BB9B89D486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3.42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31D-4517-92CD-BB9B89D486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3.38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31D-4517-92CD-BB9B89D486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3.32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31D-4517-92CD-BB9B89D486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Analysis'!$A$2:$A$10</c:f>
              <c:strCache>
                <c:ptCount val="8"/>
                <c:pt idx="0">
                  <c:v>Human Resources</c:v>
                </c:pt>
                <c:pt idx="1">
                  <c:v>Administration</c:v>
                </c:pt>
                <c:pt idx="2">
                  <c:v>Information Technology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  <c:pt idx="6">
                  <c:v>Customer Service</c:v>
                </c:pt>
                <c:pt idx="7">
                  <c:v>Sales</c:v>
                </c:pt>
              </c:strCache>
            </c:strRef>
          </c:cat>
          <c:val>
            <c:numRef>
              <c:f>'Performance Analysis'!$B$2:$B$10</c:f>
              <c:numCache>
                <c:formatCode>0.00</c:formatCode>
                <c:ptCount val="8"/>
                <c:pt idx="0">
                  <c:v>3.6</c:v>
                </c:pt>
                <c:pt idx="1">
                  <c:v>3.5249999999999999</c:v>
                </c:pt>
                <c:pt idx="2">
                  <c:v>3.476923076923077</c:v>
                </c:pt>
                <c:pt idx="3">
                  <c:v>3.4307692307692306</c:v>
                </c:pt>
                <c:pt idx="4">
                  <c:v>3.4222222222222221</c:v>
                </c:pt>
                <c:pt idx="5">
                  <c:v>3.4190476190476189</c:v>
                </c:pt>
                <c:pt idx="6">
                  <c:v>3.3846153846153846</c:v>
                </c:pt>
                <c:pt idx="7">
                  <c:v>3.3166666666666669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1D-4517-92CD-BB9B89D486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0152839"/>
        <c:axId val="1302477319"/>
      </c:barChart>
      <c:catAx>
        <c:axId val="13001528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77319"/>
        <c:crosses val="autoZero"/>
        <c:auto val="1"/>
        <c:lblAlgn val="ctr"/>
        <c:lblOffset val="100"/>
        <c:noMultiLvlLbl val="0"/>
      </c:catAx>
      <c:valAx>
        <c:axId val="1302477319"/>
        <c:scaling>
          <c:orientation val="minMax"/>
          <c:max val="5"/>
          <c:min val="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52839"/>
        <c:crosses val="max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[Employee_Data_Analysis.xlsx.xlsx]Salary 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Salary by Department (SAR)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Analysis'!$J$7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Analysis'!$I$8:$I$16</c:f>
              <c:strCache>
                <c:ptCount val="8"/>
                <c:pt idx="0">
                  <c:v>Information Technology</c:v>
                </c:pt>
                <c:pt idx="1">
                  <c:v>Marketing</c:v>
                </c:pt>
                <c:pt idx="2">
                  <c:v>Operations</c:v>
                </c:pt>
                <c:pt idx="3">
                  <c:v>Sales</c:v>
                </c:pt>
                <c:pt idx="4">
                  <c:v>Finance</c:v>
                </c:pt>
                <c:pt idx="5">
                  <c:v>Human Resources</c:v>
                </c:pt>
                <c:pt idx="6">
                  <c:v>Administration</c:v>
                </c:pt>
                <c:pt idx="7">
                  <c:v>Customer Service</c:v>
                </c:pt>
              </c:strCache>
            </c:strRef>
          </c:cat>
          <c:val>
            <c:numRef>
              <c:f>'Salary Analysis'!$J$8:$J$16</c:f>
              <c:numCache>
                <c:formatCode>#,##0.00</c:formatCode>
                <c:ptCount val="8"/>
                <c:pt idx="0">
                  <c:v>12556.923076923076</c:v>
                </c:pt>
                <c:pt idx="1">
                  <c:v>11164.444444444445</c:v>
                </c:pt>
                <c:pt idx="2">
                  <c:v>11147.619047619048</c:v>
                </c:pt>
                <c:pt idx="3">
                  <c:v>10898.333333333334</c:v>
                </c:pt>
                <c:pt idx="4">
                  <c:v>10556.923076923076</c:v>
                </c:pt>
                <c:pt idx="5">
                  <c:v>10350.90909090909</c:v>
                </c:pt>
                <c:pt idx="6">
                  <c:v>9587.5</c:v>
                </c:pt>
                <c:pt idx="7">
                  <c:v>8938.461538461539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B-4E41-A45A-D1FCB82A2A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4104839"/>
        <c:axId val="1234106887"/>
      </c:barChart>
      <c:catAx>
        <c:axId val="12341048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06887"/>
        <c:crosses val="autoZero"/>
        <c:auto val="1"/>
        <c:lblAlgn val="ctr"/>
        <c:lblOffset val="100"/>
        <c:noMultiLvlLbl val="0"/>
      </c:catAx>
      <c:valAx>
        <c:axId val="1234106887"/>
        <c:scaling>
          <c:orientation val="minMax"/>
          <c:max val="15000"/>
          <c:min val="0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04839"/>
        <c:crosses val="max"/>
        <c:crossBetween val="between"/>
        <c:majorUnit val="4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[Employee_Data_Analysis.xlsx.xlsx]Employment Status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'Employment Status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3D-48B7-A8AC-572F54C5B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3D-48B7-A8AC-572F54C5B9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3D-48B7-A8AC-572F54C5B9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'Employment Status Analysis'!$A$2:$A$5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On Leave</c:v>
                </c:pt>
              </c:strCache>
            </c:strRef>
          </c:cat>
          <c:val>
            <c:numRef>
              <c:f>'Employment Status Analysis'!$B$2:$B$5</c:f>
              <c:numCache>
                <c:formatCode>General</c:formatCode>
                <c:ptCount val="3"/>
                <c:pt idx="0">
                  <c:v>431</c:v>
                </c:pt>
                <c:pt idx="1">
                  <c:v>48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D-48B7-A8AC-572F54C5B9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[Employee_Data_Analysis.xlsx.xlsx]Gender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AC-4761-8AAE-0495703560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AC-4761-8AAE-0495703560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'Gender Analysis'!$A$2:$A$4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Analysis'!$B$2:$B$4</c:f>
              <c:numCache>
                <c:formatCode>General</c:formatCode>
                <c:ptCount val="2"/>
                <c:pt idx="0">
                  <c:v>176</c:v>
                </c:pt>
                <c:pt idx="1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AC-4761-8AAE-049570356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[Employee_Data_Analysis.xlsx.xlsx]Location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Headcount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'Location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'Location Analysis'!$A$2:$A$7</c:f>
              <c:strCache>
                <c:ptCount val="5"/>
                <c:pt idx="0">
                  <c:v>Jeddah</c:v>
                </c:pt>
                <c:pt idx="1">
                  <c:v>Riyadh</c:v>
                </c:pt>
                <c:pt idx="2">
                  <c:v>Makkah</c:v>
                </c:pt>
                <c:pt idx="3">
                  <c:v>Dammam</c:v>
                </c:pt>
                <c:pt idx="4">
                  <c:v>Madinah</c:v>
                </c:pt>
              </c:strCache>
            </c:strRef>
          </c:cat>
          <c:val>
            <c:numRef>
              <c:f>'Location Analysis'!$B$2:$B$7</c:f>
              <c:numCache>
                <c:formatCode>General</c:formatCode>
                <c:ptCount val="5"/>
                <c:pt idx="0">
                  <c:v>228</c:v>
                </c:pt>
                <c:pt idx="1">
                  <c:v>131</c:v>
                </c:pt>
                <c:pt idx="2">
                  <c:v>59</c:v>
                </c:pt>
                <c:pt idx="3">
                  <c:v>57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F-4623-902E-1A3766925C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14610439"/>
        <c:axId val="1414639111"/>
      </c:barChart>
      <c:valAx>
        <c:axId val="1414639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10439"/>
        <c:crosses val="max"/>
        <c:crossBetween val="between"/>
      </c:valAx>
      <c:catAx>
        <c:axId val="141461043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39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6</xdr:row>
      <xdr:rowOff>133350</xdr:rowOff>
    </xdr:from>
    <xdr:to>
      <xdr:col>17</xdr:col>
      <xdr:colOff>419100</xdr:colOff>
      <xdr:row>34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7CDAB-4D70-8A67-3660-34B2CEAAD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276225</xdr:colOff>
      <xdr:row>12</xdr:row>
      <xdr:rowOff>114300</xdr:rowOff>
    </xdr:from>
    <xdr:to>
      <xdr:col>2</xdr:col>
      <xdr:colOff>704850</xdr:colOff>
      <xdr:row>26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epartment">
              <a:extLst>
                <a:ext uri="{FF2B5EF4-FFF2-40B4-BE49-F238E27FC236}">
                  <a16:creationId xmlns:a16="http://schemas.microsoft.com/office/drawing/2014/main" id="{08EDEC7D-CA30-2325-B4E9-0D3682E96643}"/>
                </a:ext>
                <a:ext uri="{147F2762-F138-4A5C-976F-8EAC2B608ADB}">
                  <a16:predDERef xmlns:a16="http://schemas.microsoft.com/office/drawing/2014/main" pred="{BD57CDAB-4D70-8A67-3660-34B2CEAA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0" y="2371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4</xdr:row>
      <xdr:rowOff>114300</xdr:rowOff>
    </xdr:from>
    <xdr:to>
      <xdr:col>20</xdr:col>
      <xdr:colOff>28575</xdr:colOff>
      <xdr:row>21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03A241-E0C8-0CBE-10FE-0167CE3C3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9</xdr:row>
      <xdr:rowOff>57150</xdr:rowOff>
    </xdr:from>
    <xdr:to>
      <xdr:col>11</xdr:col>
      <xdr:colOff>457200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4B854-663F-37A2-777C-811C9087F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10</xdr:row>
      <xdr:rowOff>85725</xdr:rowOff>
    </xdr:from>
    <xdr:to>
      <xdr:col>12</xdr:col>
      <xdr:colOff>76200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A193F-3B76-76DF-62EA-8FCB77B53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10</xdr:row>
      <xdr:rowOff>85725</xdr:rowOff>
    </xdr:from>
    <xdr:to>
      <xdr:col>13</xdr:col>
      <xdr:colOff>200025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B1E4E-97CF-7DA1-B63B-724B774BA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8</xdr:row>
      <xdr:rowOff>95250</xdr:rowOff>
    </xdr:from>
    <xdr:to>
      <xdr:col>13</xdr:col>
      <xdr:colOff>590550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E0EE8-FB43-F8C7-738A-11CCF5FB7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8</xdr:row>
      <xdr:rowOff>85725</xdr:rowOff>
    </xdr:from>
    <xdr:to>
      <xdr:col>8</xdr:col>
      <xdr:colOff>0</xdr:colOff>
      <xdr:row>22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D1A66-2DFB-4C14-BE5C-CE4E7231A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47625</xdr:rowOff>
    </xdr:from>
    <xdr:to>
      <xdr:col>14</xdr:col>
      <xdr:colOff>28575</xdr:colOff>
      <xdr:row>37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80A359-1D5C-49BC-85C0-58EB6E555A55}"/>
            </a:ext>
            <a:ext uri="{147F2762-F138-4A5C-976F-8EAC2B608ADB}">
              <a16:predDERef xmlns:a16="http://schemas.microsoft.com/office/drawing/2014/main" pred="{AEFD1A66-2DFB-4C14-BE5C-CE4E7231A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8</xdr:row>
      <xdr:rowOff>85725</xdr:rowOff>
    </xdr:from>
    <xdr:to>
      <xdr:col>14</xdr:col>
      <xdr:colOff>28575</xdr:colOff>
      <xdr:row>22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40D907-7C1B-45AB-97F3-D042F8551B98}"/>
            </a:ext>
            <a:ext uri="{147F2762-F138-4A5C-976F-8EAC2B608ADB}">
              <a16:predDERef xmlns:a16="http://schemas.microsoft.com/office/drawing/2014/main" pred="{6280A359-1D5C-49BC-85C0-58EB6E555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600075</xdr:colOff>
      <xdr:row>23</xdr:row>
      <xdr:rowOff>47625</xdr:rowOff>
    </xdr:from>
    <xdr:to>
      <xdr:col>7</xdr:col>
      <xdr:colOff>733425</xdr:colOff>
      <xdr:row>37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70154D-966F-4301-BC6C-4401D5C38366}"/>
            </a:ext>
            <a:ext uri="{147F2762-F138-4A5C-976F-8EAC2B608ADB}">
              <a16:predDERef xmlns:a16="http://schemas.microsoft.com/office/drawing/2014/main" pred="{AEFD1A66-2DFB-4C14-BE5C-CE4E7231A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561975</xdr:colOff>
      <xdr:row>38</xdr:row>
      <xdr:rowOff>133350</xdr:rowOff>
    </xdr:from>
    <xdr:to>
      <xdr:col>7</xdr:col>
      <xdr:colOff>714375</xdr:colOff>
      <xdr:row>53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8BBBD5-15B9-4CE2-BA54-56D0CB8D68D6}"/>
            </a:ext>
            <a:ext uri="{147F2762-F138-4A5C-976F-8EAC2B608ADB}">
              <a16:predDERef xmlns:a16="http://schemas.microsoft.com/office/drawing/2014/main" pred="{A570154D-966F-4301-BC6C-4401D5C38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38</xdr:row>
      <xdr:rowOff>133350</xdr:rowOff>
    </xdr:from>
    <xdr:to>
      <xdr:col>14</xdr:col>
      <xdr:colOff>47625</xdr:colOff>
      <xdr:row>53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B43638-F803-4B2B-8D3C-795AAB1295CF}"/>
            </a:ext>
            <a:ext uri="{147F2762-F138-4A5C-976F-8EAC2B608ADB}">
              <a16:predDERef xmlns:a16="http://schemas.microsoft.com/office/drawing/2014/main" pred="{1B8BBBD5-15B9-4CE2-BA54-56D0CB8D6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569431597221" createdVersion="8" refreshedVersion="8" minRefreshableVersion="3" recordCount="500" xr:uid="{148E3214-6ED9-4575-86EE-B8B487523EE9}">
  <cacheSource type="worksheet">
    <worksheetSource name="Table1"/>
  </cacheSource>
  <cacheFields count="10">
    <cacheField name="Employee_ID" numFmtId="0">
      <sharedItems/>
    </cacheField>
    <cacheField name="Employee_Name" numFmtId="0">
      <sharedItems/>
    </cacheField>
    <cacheField name="Department" numFmtId="0">
      <sharedItems count="8">
        <s v="Finance"/>
        <s v="Customer Service"/>
        <s v="Sales"/>
        <s v="Human Resources"/>
        <s v="Administration"/>
        <s v="Operations"/>
        <s v="Information Technology"/>
        <s v="Marketing"/>
      </sharedItems>
    </cacheField>
    <cacheField name="Job_Title" numFmtId="0">
      <sharedItems/>
    </cacheField>
    <cacheField name="Gender" numFmtId="0">
      <sharedItems/>
    </cacheField>
    <cacheField name="Hire_Date" numFmtId="14">
      <sharedItems containsSemiMixedTypes="0" containsNonDate="0" containsDate="1" containsString="0" minDate="2014-01-03T00:00:00" maxDate="2026-08-24T00:00:00"/>
    </cacheField>
    <cacheField name="Basic_Salary" numFmtId="0">
      <sharedItems containsSemiMixedTypes="0" containsString="0" containsNumber="1" containsInteger="1" minValue="4600" maxValue="25500"/>
    </cacheField>
    <cacheField name="Performance_Rating" numFmtId="0">
      <sharedItems containsSemiMixedTypes="0" containsString="0" containsNumber="1" containsInteger="1" minValue="1" maxValue="5"/>
    </cacheField>
    <cacheField name="Employment_Status" numFmtId="0">
      <sharedItems/>
    </cacheField>
    <cacheField name="Work_Location" numFmtId="0">
      <sharedItems/>
    </cacheField>
  </cacheFields>
  <extLst>
    <ext xmlns:x14="http://schemas.microsoft.com/office/spreadsheetml/2009/9/main" uri="{725AE2AE-9491-48be-B2B4-4EB974FC3084}">
      <x14:pivotCacheDefinition pivotCacheId="137798296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223754050923" createdVersion="8" refreshedVersion="8" minRefreshableVersion="3" recordCount="501" xr:uid="{DD3EAD5D-5CF5-4D4B-BDCB-FB1959134C6A}">
  <cacheSource type="worksheet">
    <worksheetSource ref="A1:J1048576" sheet="Employee Data"/>
  </cacheSource>
  <cacheFields count="10">
    <cacheField name="Employee_ID" numFmtId="0">
      <sharedItems containsBlank="1" count="501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m/>
      </sharedItems>
    </cacheField>
    <cacheField name="Employee_Name" numFmtId="0">
      <sharedItems containsBlank="1" count="376">
        <s v="Ali Alzubaidi"/>
        <s v="Dana Alsaadi"/>
        <s v="Sultan Alnasser"/>
        <s v="Hala Almalki"/>
        <s v="Abdullah Alamri"/>
        <s v="Turki Alnasser"/>
        <s v="Saleh Alansari"/>
        <s v="Reem Alsaadi"/>
        <s v="Omar Alansari"/>
        <s v="Noura Alotaibi"/>
        <s v="Omar Alotaibi"/>
        <s v="Huda Alharbi"/>
        <s v="Omar Alharbi"/>
        <s v="Aisha Alzahrani"/>
        <s v="Lina Alrashidi"/>
        <s v="Ahmed Alsaadi"/>
        <s v="Omar Alqahtani"/>
        <s v="Shahad Alharthi"/>
        <s v="Mohammed Alqahtani"/>
        <s v="Turki Alqahtani"/>
        <s v="Nasser Alhazmi"/>
        <s v="Ibrahim Alharbi"/>
        <s v="Hamad Alotaibi"/>
        <s v="Nada Alshammari"/>
        <s v="Saad Alhazmi"/>
        <s v="Amal Alqahtani"/>
        <s v="Omar Aljuhani"/>
        <s v="Saad Alfarsi"/>
        <s v="Amal Alshammari"/>
        <s v="Reem Alzahrani"/>
        <s v="Ibrahim Almalki"/>
        <s v="Saad Alamri"/>
        <s v="Rana Alsharif"/>
        <s v="Khalid Alnasser"/>
        <s v="Turki Alshammari"/>
        <s v="Maha Alghamdi"/>
        <s v="Fatimah Almutairi"/>
        <s v="Omar Alrashidi"/>
        <s v="Maha Alzahrani"/>
        <s v="Ali Alharbi"/>
        <s v="Rayan Alhazmi"/>
        <s v="Huda Aljuhani"/>
        <s v="Hassan Alharthi"/>
        <s v="Saad Almutairi"/>
        <s v="Omar Alsharif"/>
        <s v="Abeer Alamri"/>
        <s v="Faisal Alsubaie"/>
        <s v="Fatimah Alshammari"/>
        <s v="Majed Almalki"/>
        <s v="Fahad Alnasser"/>
        <s v="Khalid Alqahtani"/>
        <s v="Hassan Alrashidi"/>
        <s v="Turki Alotaibi"/>
        <s v="Faisal Alrashidi"/>
        <s v="Saad Alzahrani"/>
        <s v="Majed Alqahtani"/>
        <s v="Saad Alrashidi"/>
        <s v="Omar Alhazmi"/>
        <s v="Lama Almutairi"/>
        <s v="Fahad Alqahtani"/>
        <s v="Lama Alharbi"/>
        <s v="Khalid Alamri"/>
        <s v="Dana Almutairi"/>
        <s v="Ibrahim Alsubaie"/>
        <s v="Saleh Alghamdi"/>
        <s v="Turki Alhazmi"/>
        <s v="Aisha Alshammari"/>
        <s v="Rana Alansari"/>
        <s v="Saad Almalki"/>
        <s v="Maha Alharbi"/>
        <s v="Mohammed Alharbi"/>
        <s v="Hamad Alamri"/>
        <s v="Shahad Alqahtani"/>
        <s v="Turki Alzahrani"/>
        <s v="Lina Alharthi"/>
        <s v="Hassan Alzahrani"/>
        <s v="Raghad Alharthi"/>
        <s v="Lina Alnasser"/>
        <s v="Rayan Alsaadi"/>
        <s v="Maryam Alqahtani"/>
        <s v="Rayan Alnasser"/>
        <s v="Rayan Alharthi"/>
        <s v="Hamad Alrashidi"/>
        <s v="Abdullah Alsaadi"/>
        <s v="Hassan Alghamdi"/>
        <s v="Fahad Alzahrani"/>
        <s v="Lama Alfarsi"/>
        <s v="Mohammed Alfarsi"/>
        <s v="Rayan Almutairi"/>
        <s v="Ahmed Aljuhani"/>
        <s v="Khalid Alotaibi"/>
        <s v="Ahmed Alharbi"/>
        <s v="Noura Alnasser"/>
        <s v="Omar Alghamdi"/>
        <s v="Reem Alghamdi"/>
        <s v="Hala Alansari"/>
        <s v="Yousef Aljuhani"/>
        <s v="Ibrahim Alhazmi"/>
        <s v="Maryam Alansari"/>
        <s v="Hanan Alamri"/>
        <s v="Amal Almalki"/>
        <s v="Maha Aljuhani"/>
        <s v="Reem Alnasser"/>
        <s v="Rayan Alamri"/>
        <s v="Saad Alansari"/>
        <s v="Hanan Alfarsi"/>
        <s v="Mohammed Alsubaie"/>
        <s v="Huda Alshammari"/>
        <s v="Reem Almalki"/>
        <s v="Nada Aljuhani"/>
        <s v="Ali Alghamdi"/>
        <s v="Fatimah Aljuhani"/>
        <s v="Rayan Almalki"/>
        <s v="Lina Alfarsi"/>
        <s v="Majed Alansari"/>
        <s v="Hamad Alzahrani"/>
        <s v="Turki Alzubaidi"/>
        <s v="Raghad Aljuhani"/>
        <s v="Maha Alansari"/>
        <s v="Maryam Alzubaidi"/>
        <s v="Rana Alhazmi"/>
        <s v="Rayan Alghamdi"/>
        <s v="Majed Alamri"/>
        <s v="Aisha Alghamdi"/>
        <s v="Raghad Alhazmi"/>
        <s v="Bader Alshammari"/>
        <s v="Sultan Alhazmi"/>
        <s v="Abdullah Alshammari"/>
        <s v="Ali Alrashidi"/>
        <s v="Bader Alotaibi"/>
        <s v="Bader Alharthi"/>
        <s v="Reem Alrashidi"/>
        <s v="Maryam Alamri"/>
        <s v="Reem Alsharif"/>
        <s v="Sultan Alsharif"/>
        <s v="Reem Alharbi"/>
        <s v="Turki Alsubaie"/>
        <s v="Omar Alamri"/>
        <s v="Amal Alansari"/>
        <s v="Majed Alnasser"/>
        <s v="Mohammed Alansari"/>
        <s v="Ahmed Alfarsi"/>
        <s v="Nada Alamri"/>
        <s v="Fahad Aljuhani"/>
        <s v="Hanan Alharbi"/>
        <s v="Hala Almutairi"/>
        <s v="Dana Alhazmi"/>
        <s v="Saad Alshammari"/>
        <s v="Huda Alzahrani"/>
        <s v="Saleh Alrashidi"/>
        <s v="Ibrahim Alzubaidi"/>
        <s v="Saleh Alshammari"/>
        <s v="Hamad Alnasser"/>
        <s v="Fahad Alharbi"/>
        <s v="Ibrahim Alqahtani"/>
        <s v="Saad Alotaibi"/>
        <s v="Majed Alotaibi"/>
        <s v="Khalid Almalki"/>
        <s v="Hala Alharthi"/>
        <s v="Sara Alharbi"/>
        <s v="Bader Alnasser"/>
        <s v="Aisha Alfarsi"/>
        <s v="Faisal Alzahrani"/>
        <s v="Abeer Alsharif"/>
        <s v="Yousef Alamri"/>
        <s v="Khalid Alghamdi"/>
        <s v="Raghad Alshammari"/>
        <s v="Hanan Alotaibi"/>
        <s v="Raghad Alzahrani"/>
        <s v="Omar Alzubaidi"/>
        <s v="Bader Alzubaidi"/>
        <s v="Sultan Almalki"/>
        <s v="Ibrahim Alrashidi"/>
        <s v="Ibrahim Alsharif"/>
        <s v="Bader Almalki"/>
        <s v="Abdullah Alghamdi"/>
        <s v="Hamad Alghamdi"/>
        <s v="Lama Aljuhani"/>
        <s v="Rana Alghamdi"/>
        <s v="Reem Alamri"/>
        <s v="Hassan Alsaadi"/>
        <s v="Raghad Alamri"/>
        <s v="Sara Alharthi"/>
        <s v="Maryam Alsubaie"/>
        <s v="Faisal Alhazmi"/>
        <s v="Majed Alghamdi"/>
        <s v="Rayan Alqahtani"/>
        <s v="Saleh Alharthi"/>
        <s v="Ali Alnasser"/>
        <s v="Omar Alsaadi"/>
        <s v="Turki Alsaadi"/>
        <s v="Nasser Alzahrani"/>
        <s v="Mohammed Alhazmi"/>
        <s v="Majed Alsubaie"/>
        <s v="Fahad Alghamdi"/>
        <s v="Sultan Alsaadi"/>
        <s v="Nasser Alamri"/>
        <s v="Aisha Alamri"/>
        <s v="Khalid Alhazmi"/>
        <s v="Ali Alharthi"/>
        <s v="Rayan Aljuhani"/>
        <s v="Dana Alrashidi"/>
        <s v="Majed Alfarsi"/>
        <s v="Fahad Alotaibi"/>
        <s v="Nada Alghamdi"/>
        <s v="Hala Alrashidi"/>
        <s v="Noura Alghamdi"/>
        <s v="Ahmed Alamri"/>
        <s v="Turki Alansari"/>
        <s v="Omar Alfarsi"/>
        <s v="Turki Alsharif"/>
        <s v="Hanan Alzubaidi"/>
        <s v="Hamad Almutairi"/>
        <s v="Sara Alsharif"/>
        <s v="Huda Alnasser"/>
        <s v="Huda Alamri"/>
        <s v="Majed Alharthi"/>
        <s v="Faisal Alansari"/>
        <s v="Abdullah Alzubaidi"/>
        <s v="Abdullah Alrashidi"/>
        <s v="Abdullah Alzahrani"/>
        <s v="Aisha Almutairi"/>
        <s v="Rayan Alrashidi"/>
        <s v="Omar Almutairi"/>
        <s v="Faisal Alzubaidi"/>
        <s v="Yousef Alansari"/>
        <s v="Joud Alzahrani"/>
        <s v="Bader Alqahtani"/>
        <s v="Yousef Almutairi"/>
        <s v="Maryam Alzahrani"/>
        <s v="Reem Alhazmi"/>
        <s v="Nasser Alfarsi"/>
        <s v="Hassan Alhazmi"/>
        <s v="Hanan Alsharif"/>
        <s v="Ibrahim Almutairi"/>
        <s v="Saleh Almutairi"/>
        <s v="Abdullah Alotaibi"/>
        <s v="Lina Alharbi"/>
        <s v="Sultan Alharbi"/>
        <s v="Hala Alsaadi"/>
        <s v="Fatimah Alamri"/>
        <s v="Yousef Alharthi"/>
        <s v="Ahmed Alhazmi"/>
        <s v="Shahad Alfarsi"/>
        <s v="Hala Alnasser"/>
        <s v="Abeer Alzubaidi"/>
        <s v="Lina Alzahrani"/>
        <s v="Yousef Alhazmi"/>
        <s v="Aisha Alzubaidi"/>
        <s v="Noura Alqahtani"/>
        <s v="Hamad Alfarsi"/>
        <s v="Abdullah Alfarsi"/>
        <s v="Omar Almalki"/>
        <s v="Sultan Alfarsi"/>
        <s v="Ahmed Alsharif"/>
        <s v="Sara Alotaibi"/>
        <s v="Shahad Alshammari"/>
        <s v="Saleh Alharbi"/>
        <s v="Rana Alzahrani"/>
        <s v="Ahmed Alsubaie"/>
        <s v="Bader Alfarsi"/>
        <s v="Ahmed Alharthi"/>
        <s v="Faisal Alharbi"/>
        <s v="Hassan Alharbi"/>
        <s v="Fatimah Alqahtani"/>
        <s v="Faisal Alfarsi"/>
        <s v="Lama Alhazmi"/>
        <s v="Lina Almalki"/>
        <s v="Noura Alsaadi"/>
        <s v="Nasser Alshammari"/>
        <s v="Saleh Alqahtani"/>
        <s v="Fatimah Alsaadi"/>
        <s v="Fatimah Alzahrani"/>
        <s v="Fatimah Alharbi"/>
        <s v="Huda Almalki"/>
        <s v="Hassan Alnasser"/>
        <s v="Hassan Alshammari"/>
        <s v="Ali Alhazmi"/>
        <s v="Saleh Alamri"/>
        <s v="Hala Alharbi"/>
        <s v="Khalid Alharbi"/>
        <s v="Bader Alamri"/>
        <s v="Ahmed Almalki"/>
        <s v="Saleh Alsaadi"/>
        <s v="Fatimah Alnasser"/>
        <s v="Fatimah Alfarsi"/>
        <s v="Ali Alqahtani"/>
        <s v="Huda Alzubaidi"/>
        <s v="Ibrahim Alzahrani"/>
        <s v="Lama Alqahtani"/>
        <s v="Khalid Alzahrani"/>
        <s v="Shahad Alamri"/>
        <s v="Bader Alrashidi"/>
        <s v="Ali Alotaibi"/>
        <s v="Saad Alsubaie"/>
        <s v="Mohammed Alharthi"/>
        <s v="Fahad Almalki"/>
        <s v="Rayan Alsharif"/>
        <s v="Hassan Almalki"/>
        <s v="Lina Aljuhani"/>
        <s v="Ahmed Almutairi"/>
        <s v="Ali Alansari"/>
        <s v="Nada Alansari"/>
        <s v="Ibrahim Alansari"/>
        <s v="Raghad Alrashidi"/>
        <s v="Mohammed Alsaadi"/>
        <s v="Hassan Alqahtani"/>
        <s v="Sultan Alsubaie"/>
        <s v="Bader Alharbi"/>
        <s v="Hamad Alqahtani"/>
        <s v="Shahad Alhazmi"/>
        <s v="Lama Alsharif"/>
        <s v="Lina Alghamdi"/>
        <s v="Majed Alzahrani"/>
        <s v="Joud Alansari"/>
        <s v="Ahmed Alotaibi"/>
        <s v="Lama Alansari"/>
        <s v="Hala Alzahrani"/>
        <s v="Mohammed Alzubaidi"/>
        <s v="Nasser Alsaadi"/>
        <s v="Khalid Alsharif"/>
        <s v="Saleh Alzubaidi"/>
        <s v="Saad Alsharif"/>
        <s v="Turki Alfarsi"/>
        <s v="Yousef Alotaibi"/>
        <s v="Rana Alzubaidi"/>
        <s v="Sara Alfarsi"/>
        <s v="Khalid Almutairi"/>
        <s v="Sara Alghamdi"/>
        <s v="Saleh Alsharif"/>
        <s v="Hamad Alansari"/>
        <s v="Nada Alzahrani"/>
        <s v="Mohammed Alotaibi"/>
        <s v="Rayan Alshammari"/>
        <s v="Nasser Alharbi"/>
        <s v="Joud Almalki"/>
        <s v="Fahad Alamri"/>
        <s v="Sara Alsubaie"/>
        <s v="Yousef Almalki"/>
        <s v="Ali Alsubaie"/>
        <s v="Omar Alzahrani"/>
        <s v="Hala Alshammari"/>
        <s v="Khalid Alansari"/>
        <s v="Maryam Alshammari"/>
        <s v="Maryam Almutairi"/>
        <s v="Ibrahim Alnasser"/>
        <s v="Ibrahim Aljuhani"/>
        <s v="Hassan Alfarsi"/>
        <s v="Yousef Alsaadi"/>
        <s v="Sara Alsaadi"/>
        <s v="Nasser Alsubaie"/>
        <s v="Abdullah Alqahtani"/>
        <s v="Abeer Alansari"/>
        <s v="Majed Aljuhani"/>
        <s v="Nasser Almutairi"/>
        <s v="Noura Alamri"/>
        <s v="Raghad Alfarsi"/>
        <s v="Shahad Alghamdi"/>
        <s v="Khalid Alsaadi"/>
        <s v="Saad Alharbi"/>
        <s v="Noura Aljuhani"/>
        <s v="Fahad Alharthi"/>
        <s v="Sara Alrashidi"/>
        <s v="Rayan Alotaibi"/>
        <s v="Hala Alsharif"/>
        <s v="Mohammed Aljuhani"/>
        <s v="Abdullah Almutairi"/>
        <s v="Majed Alsaadi"/>
        <s v="Huda Alotaibi"/>
        <s v="Rayan Alharbi"/>
        <s v="Majed Alsharif"/>
        <s v="Fahad Alfarsi"/>
        <s v="Lama Alshammari"/>
        <s v="Joud Alamri"/>
        <s v="Abeer Alnasser"/>
        <m/>
      </sharedItems>
    </cacheField>
    <cacheField name="Department" numFmtId="0">
      <sharedItems containsBlank="1" count="9">
        <s v="Finance"/>
        <s v="Customer Service"/>
        <s v="Sales"/>
        <s v="Human Resources"/>
        <s v="Administration"/>
        <s v="Operations"/>
        <s v="Information Technology"/>
        <s v="Marketing"/>
        <m/>
      </sharedItems>
    </cacheField>
    <cacheField name="Job_Titl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Hire_Date" numFmtId="0">
      <sharedItems containsNonDate="0" containsDate="1" containsString="0" containsBlank="1" minDate="2014-01-03T00:00:00" maxDate="2026-08-24T00:00:00"/>
    </cacheField>
    <cacheField name="Basic_Salary" numFmtId="0">
      <sharedItems containsString="0" containsBlank="1" containsNumber="1" containsInteger="1" minValue="4600" maxValue="25500" count="137">
        <n v="6300"/>
        <n v="8100"/>
        <n v="9700"/>
        <n v="8200"/>
        <n v="11100"/>
        <n v="12400"/>
        <n v="14100"/>
        <n v="10200"/>
        <n v="11200"/>
        <n v="16500"/>
        <n v="12900"/>
        <n v="11500"/>
        <n v="11600"/>
        <n v="12700"/>
        <n v="12600"/>
        <n v="12100"/>
        <n v="10000"/>
        <n v="10600"/>
        <n v="6900"/>
        <n v="18400"/>
        <n v="14200"/>
        <n v="8300"/>
        <n v="10700"/>
        <n v="5200"/>
        <n v="13800"/>
        <n v="11800"/>
        <n v="5500"/>
        <n v="7500"/>
        <n v="23300"/>
        <n v="17200"/>
        <n v="9000"/>
        <n v="9800"/>
        <n v="9600"/>
        <n v="9100"/>
        <n v="14400"/>
        <n v="18600"/>
        <n v="7600"/>
        <n v="7000"/>
        <n v="8600"/>
        <n v="17300"/>
        <n v="6500"/>
        <n v="6200"/>
        <n v="21300"/>
        <n v="6700"/>
        <n v="11300"/>
        <n v="9500"/>
        <n v="10400"/>
        <n v="11000"/>
        <n v="10500"/>
        <n v="7100"/>
        <n v="5400"/>
        <n v="7300"/>
        <n v="8800"/>
        <n v="17500"/>
        <n v="6400"/>
        <n v="25500"/>
        <n v="10800"/>
        <n v="23000"/>
        <n v="12300"/>
        <n v="9900"/>
        <n v="11700"/>
        <n v="6000"/>
        <n v="13900"/>
        <n v="13300"/>
        <n v="12500"/>
        <n v="10900"/>
        <n v="8500"/>
        <n v="6600"/>
        <n v="21200"/>
        <n v="11900"/>
        <n v="13000"/>
        <n v="22700"/>
        <n v="8700"/>
        <n v="7700"/>
        <n v="5800"/>
        <n v="16400"/>
        <n v="10100"/>
        <n v="6800"/>
        <n v="19500"/>
        <n v="8000"/>
        <n v="9300"/>
        <n v="13100"/>
        <n v="15100"/>
        <n v="19700"/>
        <n v="16100"/>
        <n v="15800"/>
        <n v="10300"/>
        <n v="13200"/>
        <n v="5700"/>
        <n v="7200"/>
        <n v="15500"/>
        <n v="11400"/>
        <n v="8400"/>
        <n v="5000"/>
        <n v="13400"/>
        <n v="7900"/>
        <n v="22300"/>
        <n v="14000"/>
        <n v="9200"/>
        <n v="12200"/>
        <n v="7800"/>
        <n v="18100"/>
        <n v="18500"/>
        <n v="8900"/>
        <n v="12800"/>
        <n v="16000"/>
        <n v="20800"/>
        <n v="17100"/>
        <n v="5900"/>
        <n v="16600"/>
        <n v="7400"/>
        <n v="14600"/>
        <n v="14500"/>
        <n v="4600"/>
        <n v="6100"/>
        <n v="17000"/>
        <n v="17600"/>
        <n v="22000"/>
        <n v="9400"/>
        <n v="5300"/>
        <n v="12000"/>
        <n v="19300"/>
        <n v="16200"/>
        <n v="19000"/>
        <n v="14300"/>
        <n v="14800"/>
        <n v="13500"/>
        <n v="19600"/>
        <n v="13600"/>
        <n v="13700"/>
        <n v="16300"/>
        <n v="5100"/>
        <n v="16900"/>
        <n v="21500"/>
        <n v="14700"/>
        <n v="22900"/>
        <m/>
      </sharedItems>
    </cacheField>
    <cacheField name="Performance_Rating" numFmtId="0">
      <sharedItems containsString="0" containsBlank="1" containsNumber="1" containsInteger="1" minValue="1" maxValue="5"/>
    </cacheField>
    <cacheField name="Employment_Status" numFmtId="0">
      <sharedItems containsBlank="1" count="4">
        <s v="Active"/>
        <s v="On Leave"/>
        <s v="Resigned"/>
        <m/>
      </sharedItems>
    </cacheField>
    <cacheField name="Work_Location" numFmtId="0">
      <sharedItems containsBlank="1" count="6">
        <s v="Jeddah"/>
        <s v="Makkah"/>
        <s v="Riyadh"/>
        <s v="Madinah"/>
        <s v="Dammam"/>
        <m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MP0001"/>
    <s v="Ali Alzubaidi"/>
    <x v="0"/>
    <s v="Accounting Assistant"/>
    <s v="Male"/>
    <d v="2022-07-01T00:00:00"/>
    <n v="6300"/>
    <n v="5"/>
    <s v="Active"/>
    <s v="Jeddah"/>
  </r>
  <r>
    <s v="EMP0002"/>
    <s v="Dana Alsaadi"/>
    <x v="1"/>
    <s v="Customer Support Specialist"/>
    <s v="Female"/>
    <d v="2022-03-22T00:00:00"/>
    <n v="8100"/>
    <n v="4"/>
    <s v="Active"/>
    <s v="Makkah"/>
  </r>
  <r>
    <s v="EMP0003"/>
    <s v="Sultan Alnasser"/>
    <x v="2"/>
    <s v="Sales Analyst"/>
    <s v="Male"/>
    <d v="2020-01-14T00:00:00"/>
    <n v="9700"/>
    <n v="2"/>
    <s v="Active"/>
    <s v="Riyadh"/>
  </r>
  <r>
    <s v="EMP0004"/>
    <s v="Hala Almalki"/>
    <x v="0"/>
    <s v="Accountant"/>
    <s v="Female"/>
    <d v="2022-08-05T00:00:00"/>
    <n v="8200"/>
    <n v="3"/>
    <s v="Active"/>
    <s v="Jeddah"/>
  </r>
  <r>
    <s v="EMP0005"/>
    <s v="Abdullah Alamri"/>
    <x v="3"/>
    <s v="HR Operations Specialist"/>
    <s v="Male"/>
    <d v="2015-06-30T00:00:00"/>
    <n v="11100"/>
    <n v="4"/>
    <s v="Active"/>
    <s v="Jeddah"/>
  </r>
  <r>
    <s v="EMP0006"/>
    <s v="Turki Alnasser"/>
    <x v="2"/>
    <s v="Account Executive"/>
    <s v="Male"/>
    <d v="2024-04-04T00:00:00"/>
    <n v="12400"/>
    <n v="3"/>
    <s v="Active"/>
    <s v="Jeddah"/>
  </r>
  <r>
    <s v="EMP0007"/>
    <s v="Ali Alzubaidi"/>
    <x v="2"/>
    <s v="Key Account Manager"/>
    <s v="Male"/>
    <d v="2018-02-23T00:00:00"/>
    <n v="14100"/>
    <n v="3"/>
    <s v="Active"/>
    <s v="Madinah"/>
  </r>
  <r>
    <s v="EMP0008"/>
    <s v="Saleh Alansari"/>
    <x v="4"/>
    <s v="Executive Secretary"/>
    <s v="Male"/>
    <d v="2022-11-22T00:00:00"/>
    <n v="10200"/>
    <n v="5"/>
    <s v="Active"/>
    <s v="Jeddah"/>
  </r>
  <r>
    <s v="EMP0009"/>
    <s v="Reem Alsaadi"/>
    <x v="3"/>
    <s v="HR Operations Specialist"/>
    <s v="Female"/>
    <d v="2016-07-31T00:00:00"/>
    <n v="11200"/>
    <n v="4"/>
    <s v="Active"/>
    <s v="Madinah"/>
  </r>
  <r>
    <s v="EMP0010"/>
    <s v="Omar Alansari"/>
    <x v="4"/>
    <s v="Administration Manager"/>
    <s v="Male"/>
    <d v="2014-04-07T00:00:00"/>
    <n v="16500"/>
    <n v="3"/>
    <s v="Active"/>
    <s v="Dammam"/>
  </r>
  <r>
    <s v="EMP0011"/>
    <s v="Noura Alotaibi"/>
    <x v="5"/>
    <s v="Operations Supervisor"/>
    <s v="Female"/>
    <d v="2015-06-21T00:00:00"/>
    <n v="12900"/>
    <n v="3"/>
    <s v="On Leave"/>
    <s v="Jeddah"/>
  </r>
  <r>
    <s v="EMP0012"/>
    <s v="Omar Alotaibi"/>
    <x v="0"/>
    <s v="Financial Analyst"/>
    <s v="Male"/>
    <d v="2025-11-20T00:00:00"/>
    <n v="11500"/>
    <n v="4"/>
    <s v="Active"/>
    <s v="Makkah"/>
  </r>
  <r>
    <s v="EMP0013"/>
    <s v="Huda Alharbi"/>
    <x v="6"/>
    <s v="Systems Administrator"/>
    <s v="Female"/>
    <d v="2021-01-29T00:00:00"/>
    <n v="11600"/>
    <n v="4"/>
    <s v="Active"/>
    <s v="Jeddah"/>
  </r>
  <r>
    <s v="EMP0014"/>
    <s v="Omar Alharbi"/>
    <x v="3"/>
    <s v="HR Supervisor"/>
    <s v="Male"/>
    <d v="2014-02-06T00:00:00"/>
    <n v="12400"/>
    <n v="4"/>
    <s v="Active"/>
    <s v="Riyadh"/>
  </r>
  <r>
    <s v="EMP0015"/>
    <s v="Aisha Alzahrani"/>
    <x v="1"/>
    <s v="Team Leader"/>
    <s v="Female"/>
    <d v="2025-10-07T00:00:00"/>
    <n v="12700"/>
    <n v="3"/>
    <s v="Active"/>
    <s v="Jeddah"/>
  </r>
  <r>
    <s v="EMP0016"/>
    <s v="Lina Alrashidi"/>
    <x v="6"/>
    <s v="Systems Administrator"/>
    <s v="Female"/>
    <d v="2025-12-09T00:00:00"/>
    <n v="12600"/>
    <n v="3"/>
    <s v="Active"/>
    <s v="Jeddah"/>
  </r>
  <r>
    <s v="EMP0017"/>
    <s v="Ahmed Alsaadi"/>
    <x v="6"/>
    <s v="Systems Administrator"/>
    <s v="Male"/>
    <d v="2018-09-12T00:00:00"/>
    <n v="11200"/>
    <n v="4"/>
    <s v="Active"/>
    <s v="Riyadh"/>
  </r>
  <r>
    <s v="EMP0018"/>
    <s v="Omar Alqahtani"/>
    <x v="3"/>
    <s v="HR Supervisor"/>
    <s v="Male"/>
    <d v="2025-05-11T00:00:00"/>
    <n v="12100"/>
    <n v="2"/>
    <s v="Active"/>
    <s v="Dammam"/>
  </r>
  <r>
    <s v="EMP0019"/>
    <s v="Shahad Alharthi"/>
    <x v="0"/>
    <s v="Financial Analyst"/>
    <s v="Female"/>
    <d v="2019-06-25T00:00:00"/>
    <n v="10000"/>
    <n v="3"/>
    <s v="Active"/>
    <s v="Jeddah"/>
  </r>
  <r>
    <s v="EMP0020"/>
    <s v="Mohammed Alqahtani"/>
    <x v="5"/>
    <s v="Operations Analyst"/>
    <s v="Male"/>
    <d v="2016-05-06T00:00:00"/>
    <n v="10600"/>
    <n v="2"/>
    <s v="Active"/>
    <s v="Makkah"/>
  </r>
  <r>
    <s v="EMP0021"/>
    <s v="Turki Alqahtani"/>
    <x v="1"/>
    <s v="Team Leader"/>
    <s v="Male"/>
    <d v="2026-06-27T00:00:00"/>
    <n v="11100"/>
    <n v="3"/>
    <s v="Active"/>
    <s v="Jeddah"/>
  </r>
  <r>
    <s v="EMP0022"/>
    <s v="Nasser Alhazmi"/>
    <x v="6"/>
    <s v="IT Support"/>
    <s v="Male"/>
    <d v="2022-07-10T00:00:00"/>
    <n v="6900"/>
    <n v="4"/>
    <s v="Active"/>
    <s v="Riyadh"/>
  </r>
  <r>
    <s v="EMP0023"/>
    <s v="Ibrahim Alharbi"/>
    <x v="2"/>
    <s v="Sales Analyst"/>
    <s v="Male"/>
    <d v="2022-05-04T00:00:00"/>
    <n v="12400"/>
    <n v="4"/>
    <s v="Active"/>
    <s v="Jeddah"/>
  </r>
  <r>
    <s v="EMP0024"/>
    <s v="Hamad Alotaibi"/>
    <x v="6"/>
    <s v="IT Manager"/>
    <s v="Male"/>
    <d v="2018-11-28T00:00:00"/>
    <n v="18400"/>
    <n v="4"/>
    <s v="Active"/>
    <s v="Jeddah"/>
  </r>
  <r>
    <s v="EMP0025"/>
    <s v="Nada Alshammari"/>
    <x v="6"/>
    <s v="Systems Administrator"/>
    <s v="Female"/>
    <d v="2022-05-06T00:00:00"/>
    <n v="14200"/>
    <n v="3"/>
    <s v="Active"/>
    <s v="Riyadh"/>
  </r>
  <r>
    <s v="EMP0026"/>
    <s v="Saad Alhazmi"/>
    <x v="3"/>
    <s v="HR Specialist"/>
    <s v="Male"/>
    <d v="2016-01-31T00:00:00"/>
    <n v="10200"/>
    <n v="4"/>
    <s v="Active"/>
    <s v="Dammam"/>
  </r>
  <r>
    <s v="EMP0027"/>
    <s v="Amal Alqahtani"/>
    <x v="2"/>
    <s v="Account Executive"/>
    <s v="Female"/>
    <d v="2015-01-08T00:00:00"/>
    <n v="8300"/>
    <n v="3"/>
    <s v="Active"/>
    <s v="Riyadh"/>
  </r>
  <r>
    <s v="EMP0028"/>
    <s v="Omar Aljuhani"/>
    <x v="5"/>
    <s v="Operations Specialist"/>
    <s v="Male"/>
    <d v="2024-05-06T00:00:00"/>
    <n v="10700"/>
    <n v="5"/>
    <s v="Active"/>
    <s v="Riyadh"/>
  </r>
  <r>
    <s v="EMP0029"/>
    <s v="Saad Alfarsi"/>
    <x v="2"/>
    <s v="Sales Representative"/>
    <s v="Male"/>
    <d v="2015-06-24T00:00:00"/>
    <n v="5200"/>
    <n v="5"/>
    <s v="Active"/>
    <s v="Jeddah"/>
  </r>
  <r>
    <s v="EMP0030"/>
    <s v="Amal Alshammari"/>
    <x v="6"/>
    <s v="Systems Administrator"/>
    <s v="Female"/>
    <d v="2016-05-15T00:00:00"/>
    <n v="13800"/>
    <n v="3"/>
    <s v="Active"/>
    <s v="Jeddah"/>
  </r>
  <r>
    <s v="EMP0031"/>
    <s v="Reem Alzahrani"/>
    <x v="5"/>
    <s v="Operations Analyst"/>
    <s v="Female"/>
    <d v="2024-10-16T00:00:00"/>
    <n v="11800"/>
    <n v="3"/>
    <s v="Active"/>
    <s v="Jeddah"/>
  </r>
  <r>
    <s v="EMP0032"/>
    <s v="Ibrahim Almalki"/>
    <x v="2"/>
    <s v="Sales Representative"/>
    <s v="Male"/>
    <d v="2022-12-25T00:00:00"/>
    <n v="5500"/>
    <n v="4"/>
    <s v="Active"/>
    <s v="Jeddah"/>
  </r>
  <r>
    <s v="EMP0033"/>
    <s v="Saad Alamri"/>
    <x v="5"/>
    <s v="Operations Coordinator"/>
    <s v="Male"/>
    <d v="2020-06-23T00:00:00"/>
    <n v="7500"/>
    <n v="5"/>
    <s v="Active"/>
    <s v="Madinah"/>
  </r>
  <r>
    <s v="EMP0034"/>
    <s v="Rana Alsharif"/>
    <x v="7"/>
    <s v="Digital Marketing Specialist"/>
    <s v="Female"/>
    <d v="2014-04-05T00:00:00"/>
    <n v="11500"/>
    <n v="4"/>
    <s v="Active"/>
    <s v="Jeddah"/>
  </r>
  <r>
    <s v="EMP0035"/>
    <s v="Khalid Alnasser"/>
    <x v="6"/>
    <s v="IT Manager"/>
    <s v="Male"/>
    <d v="2021-07-28T00:00:00"/>
    <n v="23300"/>
    <n v="4"/>
    <s v="Active"/>
    <s v="Jeddah"/>
  </r>
  <r>
    <s v="EMP0036"/>
    <s v="Turki Alshammari"/>
    <x v="5"/>
    <s v="Operations Manager"/>
    <s v="Male"/>
    <d v="2014-06-21T00:00:00"/>
    <n v="17200"/>
    <n v="5"/>
    <s v="Active"/>
    <s v="Jeddah"/>
  </r>
  <r>
    <s v="EMP0037"/>
    <s v="Maha Alghamdi"/>
    <x v="5"/>
    <s v="Operations Specialist"/>
    <s v="Female"/>
    <d v="2019-04-23T00:00:00"/>
    <n v="9000"/>
    <n v="1"/>
    <s v="Active"/>
    <s v="Jeddah"/>
  </r>
  <r>
    <s v="EMP0038"/>
    <s v="Fatimah Almutairi"/>
    <x v="0"/>
    <s v="Senior Accountant"/>
    <s v="Female"/>
    <d v="2021-01-02T00:00:00"/>
    <n v="14100"/>
    <n v="4"/>
    <s v="Active"/>
    <s v="Dammam"/>
  </r>
  <r>
    <s v="EMP0039"/>
    <s v="Omar Alrashidi"/>
    <x v="3"/>
    <s v="HR Specialist"/>
    <s v="Male"/>
    <d v="2024-11-26T00:00:00"/>
    <n v="10600"/>
    <n v="4"/>
    <s v="Resigned"/>
    <s v="Riyadh"/>
  </r>
  <r>
    <s v="EMP0040"/>
    <s v="Maha Alzahrani"/>
    <x v="2"/>
    <s v="Account Executive"/>
    <s v="Female"/>
    <d v="2014-01-25T00:00:00"/>
    <n v="8200"/>
    <n v="4"/>
    <s v="Active"/>
    <s v="Riyadh"/>
  </r>
  <r>
    <s v="EMP0041"/>
    <s v="Ali Alharbi"/>
    <x v="0"/>
    <s v="Financial Analyst"/>
    <s v="Male"/>
    <d v="2018-10-27T00:00:00"/>
    <n v="9800"/>
    <n v="5"/>
    <s v="Active"/>
    <s v="Jeddah"/>
  </r>
  <r>
    <s v="EMP0042"/>
    <s v="Rayan Alhazmi"/>
    <x v="5"/>
    <s v="Operations Analyst"/>
    <s v="Male"/>
    <d v="2022-11-02T00:00:00"/>
    <n v="9600"/>
    <n v="5"/>
    <s v="Active"/>
    <s v="Riyadh"/>
  </r>
  <r>
    <s v="EMP0043"/>
    <s v="Huda Aljuhani"/>
    <x v="5"/>
    <s v="Operations Specialist"/>
    <s v="Female"/>
    <d v="2019-07-23T00:00:00"/>
    <n v="9800"/>
    <n v="3"/>
    <s v="Active"/>
    <s v="Jeddah"/>
  </r>
  <r>
    <s v="EMP0044"/>
    <s v="Hassan Alharthi"/>
    <x v="3"/>
    <s v="HR Operations Specialist"/>
    <s v="Male"/>
    <d v="2024-10-06T00:00:00"/>
    <n v="9100"/>
    <n v="3"/>
    <s v="Active"/>
    <s v="Dammam"/>
  </r>
  <r>
    <s v="EMP0045"/>
    <s v="Saad Almutairi"/>
    <x v="7"/>
    <s v="Digital Marketing Specialist"/>
    <s v="Male"/>
    <d v="2024-06-21T00:00:00"/>
    <n v="14400"/>
    <n v="4"/>
    <s v="Active"/>
    <s v="Riyadh"/>
  </r>
  <r>
    <s v="EMP0046"/>
    <s v="Omar Alsharif"/>
    <x v="1"/>
    <s v="Customer Service Manager"/>
    <s v="Male"/>
    <d v="2024-02-27T00:00:00"/>
    <n v="18600"/>
    <n v="4"/>
    <s v="Resigned"/>
    <s v="Makkah"/>
  </r>
  <r>
    <s v="EMP0047"/>
    <s v="Abeer Alamri"/>
    <x v="1"/>
    <s v="Customer Support Specialist"/>
    <s v="Female"/>
    <d v="2022-07-08T00:00:00"/>
    <n v="6300"/>
    <n v="5"/>
    <s v="Active"/>
    <s v="Jeddah"/>
  </r>
  <r>
    <s v="EMP0048"/>
    <s v="Faisal Alsubaie"/>
    <x v="2"/>
    <s v="Account Executive"/>
    <s v="Male"/>
    <d v="2020-10-29T00:00:00"/>
    <n v="7600"/>
    <n v="5"/>
    <s v="Active"/>
    <s v="Riyadh"/>
  </r>
  <r>
    <s v="EMP0049"/>
    <s v="Fatimah Alshammari"/>
    <x v="0"/>
    <s v="Senior Accountant"/>
    <s v="Female"/>
    <d v="2015-11-12T00:00:00"/>
    <n v="12700"/>
    <n v="4"/>
    <s v="Active"/>
    <s v="Jeddah"/>
  </r>
  <r>
    <s v="EMP0050"/>
    <s v="Majed Almalki"/>
    <x v="2"/>
    <s v="Sales Representative"/>
    <s v="Male"/>
    <d v="2025-02-02T00:00:00"/>
    <n v="5500"/>
    <n v="4"/>
    <s v="Active"/>
    <s v="Jeddah"/>
  </r>
  <r>
    <s v="EMP0051"/>
    <s v="Fahad Alnasser"/>
    <x v="3"/>
    <s v="HR Specialist"/>
    <s v="Male"/>
    <d v="2022-08-07T00:00:00"/>
    <n v="9100"/>
    <n v="2"/>
    <s v="Active"/>
    <s v="Madinah"/>
  </r>
  <r>
    <s v="EMP0052"/>
    <s v="Khalid Alqahtani"/>
    <x v="7"/>
    <s v="Marketing Coordinator"/>
    <s v="Male"/>
    <d v="2021-05-05T00:00:00"/>
    <n v="7000"/>
    <n v="3"/>
    <s v="Active"/>
    <s v="Jeddah"/>
  </r>
  <r>
    <s v="EMP0053"/>
    <s v="Hassan Alrashidi"/>
    <x v="1"/>
    <s v="Customer Support Specialist"/>
    <s v="Male"/>
    <d v="2017-06-08T00:00:00"/>
    <n v="8600"/>
    <n v="4"/>
    <s v="Active"/>
    <s v="Riyadh"/>
  </r>
  <r>
    <s v="EMP0054"/>
    <s v="Turki Alotaibi"/>
    <x v="5"/>
    <s v="Operations Specialist"/>
    <s v="Male"/>
    <d v="2019-06-15T00:00:00"/>
    <n v="9700"/>
    <n v="3"/>
    <s v="Active"/>
    <s v="Riyadh"/>
  </r>
  <r>
    <s v="EMP0055"/>
    <s v="Faisal Alrashidi"/>
    <x v="6"/>
    <s v="Software Engineer"/>
    <s v="Male"/>
    <d v="2017-09-16T00:00:00"/>
    <n v="17300"/>
    <n v="3"/>
    <s v="Active"/>
    <s v="Jeddah"/>
  </r>
  <r>
    <s v="EMP0056"/>
    <s v="Saad Alzahrani"/>
    <x v="0"/>
    <s v="Accounting Assistant"/>
    <s v="Male"/>
    <d v="2020-02-02T00:00:00"/>
    <n v="6500"/>
    <n v="4"/>
    <s v="Active"/>
    <s v="Jeddah"/>
  </r>
  <r>
    <s v="EMP0057"/>
    <s v="Majed Alqahtani"/>
    <x v="1"/>
    <s v="Customer Support Specialist"/>
    <s v="Male"/>
    <d v="2019-06-09T00:00:00"/>
    <n v="6200"/>
    <n v="4"/>
    <s v="Active"/>
    <s v="Jeddah"/>
  </r>
  <r>
    <s v="EMP0058"/>
    <s v="Saad Alrashidi"/>
    <x v="6"/>
    <s v="Data Analyst"/>
    <s v="Male"/>
    <d v="2021-04-27T00:00:00"/>
    <n v="10700"/>
    <n v="4"/>
    <s v="Active"/>
    <s v="Jeddah"/>
  </r>
  <r>
    <s v="EMP0059"/>
    <s v="Omar Alhazmi"/>
    <x v="7"/>
    <s v="Marketing Manager"/>
    <s v="Male"/>
    <d v="2025-05-21T00:00:00"/>
    <n v="21300"/>
    <n v="4"/>
    <s v="Active"/>
    <s v="Jeddah"/>
  </r>
  <r>
    <s v="EMP0060"/>
    <s v="Lama Almutairi"/>
    <x v="2"/>
    <s v="Sales Representative"/>
    <s v="Female"/>
    <d v="2021-05-05T00:00:00"/>
    <n v="6700"/>
    <n v="3"/>
    <s v="Active"/>
    <s v="Dammam"/>
  </r>
  <r>
    <s v="EMP0061"/>
    <s v="Fahad Alqahtani"/>
    <x v="0"/>
    <s v="Financial Analyst"/>
    <s v="Male"/>
    <d v="2020-07-23T00:00:00"/>
    <n v="11300"/>
    <n v="4"/>
    <s v="Active"/>
    <s v="Jeddah"/>
  </r>
  <r>
    <s v="EMP0062"/>
    <s v="Omar Alharbi"/>
    <x v="5"/>
    <s v="Operations Analyst"/>
    <s v="Male"/>
    <d v="2023-12-11T00:00:00"/>
    <n v="9500"/>
    <n v="3"/>
    <s v="Active"/>
    <s v="Dammam"/>
  </r>
  <r>
    <s v="EMP0063"/>
    <s v="Lama Alharbi"/>
    <x v="5"/>
    <s v="Operations Analyst"/>
    <s v="Female"/>
    <d v="2025-03-02T00:00:00"/>
    <n v="10400"/>
    <n v="5"/>
    <s v="Resigned"/>
    <s v="Dammam"/>
  </r>
  <r>
    <s v="EMP0064"/>
    <s v="Khalid Alamri"/>
    <x v="5"/>
    <s v="Operations Specialist"/>
    <s v="Male"/>
    <d v="2015-05-13T00:00:00"/>
    <n v="11000"/>
    <n v="2"/>
    <s v="Resigned"/>
    <s v="Makkah"/>
  </r>
  <r>
    <s v="EMP0065"/>
    <s v="Dana Almutairi"/>
    <x v="3"/>
    <s v="HR Specialist"/>
    <s v="Female"/>
    <d v="2024-07-22T00:00:00"/>
    <n v="11100"/>
    <n v="3"/>
    <s v="Active"/>
    <s v="Riyadh"/>
  </r>
  <r>
    <s v="EMP0066"/>
    <s v="Ibrahim Alsubaie"/>
    <x v="0"/>
    <s v="Financial Analyst"/>
    <s v="Male"/>
    <d v="2016-02-08T00:00:00"/>
    <n v="10500"/>
    <n v="3"/>
    <s v="Active"/>
    <s v="Riyadh"/>
  </r>
  <r>
    <s v="EMP0067"/>
    <s v="Saleh Alghamdi"/>
    <x v="3"/>
    <s v="HR Operations Specialist"/>
    <s v="Male"/>
    <d v="2014-09-13T00:00:00"/>
    <n v="10700"/>
    <n v="4"/>
    <s v="Active"/>
    <s v="Jeddah"/>
  </r>
  <r>
    <s v="EMP0068"/>
    <s v="Turki Alhazmi"/>
    <x v="2"/>
    <s v="Sales Analyst"/>
    <s v="Male"/>
    <d v="2025-11-18T00:00:00"/>
    <n v="9700"/>
    <n v="1"/>
    <s v="Active"/>
    <s v="Riyadh"/>
  </r>
  <r>
    <s v="EMP0069"/>
    <s v="Aisha Alshammari"/>
    <x v="1"/>
    <s v="Customer Support Specialist"/>
    <s v="Female"/>
    <d v="2021-06-18T00:00:00"/>
    <n v="7000"/>
    <n v="4"/>
    <s v="Active"/>
    <s v="Makkah"/>
  </r>
  <r>
    <s v="EMP0070"/>
    <s v="Rana Alansari"/>
    <x v="0"/>
    <s v="Accounting Assistant"/>
    <s v="Female"/>
    <d v="2016-12-18T00:00:00"/>
    <n v="7100"/>
    <n v="3"/>
    <s v="Active"/>
    <s v="Jeddah"/>
  </r>
  <r>
    <s v="EMP0071"/>
    <s v="Saad Almalki"/>
    <x v="3"/>
    <s v="HR Specialist"/>
    <s v="Male"/>
    <d v="2020-07-09T00:00:00"/>
    <n v="10000"/>
    <n v="3"/>
    <s v="Active"/>
    <s v="Makkah"/>
  </r>
  <r>
    <s v="EMP0072"/>
    <s v="Maha Alharbi"/>
    <x v="4"/>
    <s v="Administrative Assistant"/>
    <s v="Female"/>
    <d v="2018-01-18T00:00:00"/>
    <n v="5400"/>
    <n v="3"/>
    <s v="Active"/>
    <s v="Jeddah"/>
  </r>
  <r>
    <s v="EMP0073"/>
    <s v="Mohammed Alharbi"/>
    <x v="0"/>
    <s v="Accounting Assistant"/>
    <s v="Male"/>
    <d v="2023-07-29T00:00:00"/>
    <n v="6500"/>
    <n v="5"/>
    <s v="Active"/>
    <s v="Makkah"/>
  </r>
  <r>
    <s v="EMP0074"/>
    <s v="Turki Alhazmi"/>
    <x v="7"/>
    <s v="Marketing Coordinator"/>
    <s v="Male"/>
    <d v="2021-05-14T00:00:00"/>
    <n v="7300"/>
    <n v="4"/>
    <s v="Active"/>
    <s v="Jeddah"/>
  </r>
  <r>
    <s v="EMP0075"/>
    <s v="Hamad Alamri"/>
    <x v="3"/>
    <s v="HR Operations Specialist"/>
    <s v="Male"/>
    <d v="2016-12-30T00:00:00"/>
    <n v="8800"/>
    <n v="3"/>
    <s v="Active"/>
    <s v="Jeddah"/>
  </r>
  <r>
    <s v="EMP0076"/>
    <s v="Shahad Alqahtani"/>
    <x v="1"/>
    <s v="Customer Service Manager"/>
    <s v="Female"/>
    <d v="2020-11-24T00:00:00"/>
    <n v="17500"/>
    <n v="4"/>
    <s v="Active"/>
    <s v="Makkah"/>
  </r>
  <r>
    <s v="EMP0077"/>
    <s v="Turki Alzahrani"/>
    <x v="0"/>
    <s v="Accountant"/>
    <s v="Male"/>
    <d v="2020-04-12T00:00:00"/>
    <n v="8800"/>
    <n v="2"/>
    <s v="Active"/>
    <s v="Makkah"/>
  </r>
  <r>
    <s v="EMP0078"/>
    <s v="Lina Alharthi"/>
    <x v="1"/>
    <s v="Quality Analyst"/>
    <s v="Female"/>
    <d v="2020-08-28T00:00:00"/>
    <n v="8100"/>
    <n v="4"/>
    <s v="Resigned"/>
    <s v="Jeddah"/>
  </r>
  <r>
    <s v="EMP0079"/>
    <s v="Hassan Alzahrani"/>
    <x v="3"/>
    <s v="HR Specialist"/>
    <s v="Male"/>
    <d v="2021-03-15T00:00:00"/>
    <n v="9500"/>
    <n v="4"/>
    <s v="Active"/>
    <s v="Jeddah"/>
  </r>
  <r>
    <s v="EMP0080"/>
    <s v="Raghad Alharthi"/>
    <x v="2"/>
    <s v="Sales Analyst"/>
    <s v="Female"/>
    <d v="2024-11-17T00:00:00"/>
    <n v="9100"/>
    <n v="4"/>
    <s v="Active"/>
    <s v="Jeddah"/>
  </r>
  <r>
    <s v="EMP0081"/>
    <s v="Lina Alnasser"/>
    <x v="0"/>
    <s v="Accounting Assistant"/>
    <s v="Female"/>
    <d v="2020-01-29T00:00:00"/>
    <n v="6400"/>
    <n v="3"/>
    <s v="Active"/>
    <s v="Riyadh"/>
  </r>
  <r>
    <s v="EMP0082"/>
    <s v="Rayan Alsaadi"/>
    <x v="0"/>
    <s v="Finance Manager"/>
    <s v="Male"/>
    <d v="2023-01-29T00:00:00"/>
    <n v="25500"/>
    <n v="3"/>
    <s v="Active"/>
    <s v="Madinah"/>
  </r>
  <r>
    <s v="EMP0083"/>
    <s v="Maryam Alqahtani"/>
    <x v="5"/>
    <s v="Operations Specialist"/>
    <s v="Female"/>
    <d v="2019-06-04T00:00:00"/>
    <n v="11500"/>
    <n v="3"/>
    <s v="Active"/>
    <s v="Jeddah"/>
  </r>
  <r>
    <s v="EMP0084"/>
    <s v="Rayan Alnasser"/>
    <x v="6"/>
    <s v="Data Analyst"/>
    <s v="Male"/>
    <d v="2024-03-29T00:00:00"/>
    <n v="11800"/>
    <n v="3"/>
    <s v="Active"/>
    <s v="Riyadh"/>
  </r>
  <r>
    <s v="EMP0085"/>
    <s v="Rayan Alharthi"/>
    <x v="3"/>
    <s v="HR Operations Specialist"/>
    <s v="Male"/>
    <d v="2017-02-21T00:00:00"/>
    <n v="10800"/>
    <n v="5"/>
    <s v="Active"/>
    <s v="Makkah"/>
  </r>
  <r>
    <s v="EMP0086"/>
    <s v="Hamad Alrashidi"/>
    <x v="5"/>
    <s v="Operations Manager"/>
    <s v="Male"/>
    <d v="2025-08-11T00:00:00"/>
    <n v="23000"/>
    <n v="4"/>
    <s v="Active"/>
    <s v="Jeddah"/>
  </r>
  <r>
    <s v="EMP0087"/>
    <s v="Hassan Alrashidi"/>
    <x v="2"/>
    <s v="Sales Representative"/>
    <s v="Male"/>
    <d v="2018-07-02T00:00:00"/>
    <n v="8200"/>
    <n v="2"/>
    <s v="Active"/>
    <s v="Jeddah"/>
  </r>
  <r>
    <s v="EMP0088"/>
    <s v="Abdullah Alsaadi"/>
    <x v="0"/>
    <s v="Financial Analyst"/>
    <s v="Male"/>
    <d v="2024-06-10T00:00:00"/>
    <n v="12300"/>
    <n v="3"/>
    <s v="Active"/>
    <s v="Jeddah"/>
  </r>
  <r>
    <s v="EMP0089"/>
    <s v="Hassan Alghamdi"/>
    <x v="6"/>
    <s v="Data Analyst"/>
    <s v="Male"/>
    <d v="2019-01-28T00:00:00"/>
    <n v="11500"/>
    <n v="5"/>
    <s v="Active"/>
    <s v="Dammam"/>
  </r>
  <r>
    <s v="EMP0090"/>
    <s v="Fahad Alzahrani"/>
    <x v="6"/>
    <s v="Data Analyst"/>
    <s v="Male"/>
    <d v="2014-11-23T00:00:00"/>
    <n v="9500"/>
    <n v="4"/>
    <s v="Active"/>
    <s v="Makkah"/>
  </r>
  <r>
    <s v="EMP0091"/>
    <s v="Reem Alzahrani"/>
    <x v="0"/>
    <s v="Accountant"/>
    <s v="Female"/>
    <d v="2026-08-23T00:00:00"/>
    <n v="9700"/>
    <n v="4"/>
    <s v="Active"/>
    <s v="Riyadh"/>
  </r>
  <r>
    <s v="EMP0092"/>
    <s v="Lama Alfarsi"/>
    <x v="0"/>
    <s v="Accountant"/>
    <s v="Female"/>
    <d v="2014-10-22T00:00:00"/>
    <n v="11500"/>
    <n v="2"/>
    <s v="Active"/>
    <s v="Makkah"/>
  </r>
  <r>
    <s v="EMP0093"/>
    <s v="Mohammed Alfarsi"/>
    <x v="2"/>
    <s v="Sales Analyst"/>
    <s v="Male"/>
    <d v="2022-08-10T00:00:00"/>
    <n v="12600"/>
    <n v="3"/>
    <s v="Active"/>
    <s v="Jeddah"/>
  </r>
  <r>
    <s v="EMP0094"/>
    <s v="Abdullah Alsaadi"/>
    <x v="1"/>
    <s v="Customer Service Manager"/>
    <s v="Male"/>
    <d v="2018-08-20T00:00:00"/>
    <n v="14100"/>
    <n v="4"/>
    <s v="Active"/>
    <s v="Jeddah"/>
  </r>
  <r>
    <s v="EMP0095"/>
    <s v="Rayan Almutairi"/>
    <x v="1"/>
    <s v="Team Leader"/>
    <s v="Male"/>
    <d v="2014-06-16T00:00:00"/>
    <n v="9900"/>
    <n v="3"/>
    <s v="Active"/>
    <s v="Jeddah"/>
  </r>
  <r>
    <s v="EMP0096"/>
    <s v="Ahmed Aljuhani"/>
    <x v="7"/>
    <s v="Digital Marketing Specialist"/>
    <s v="Male"/>
    <d v="2024-02-27T00:00:00"/>
    <n v="11700"/>
    <n v="4"/>
    <s v="Active"/>
    <s v="Makkah"/>
  </r>
  <r>
    <s v="EMP0097"/>
    <s v="Khalid Alotaibi"/>
    <x v="5"/>
    <s v="Operations Coordinator"/>
    <s v="Male"/>
    <d v="2021-05-04T00:00:00"/>
    <n v="6000"/>
    <n v="3"/>
    <s v="Active"/>
    <s v="Riyadh"/>
  </r>
  <r>
    <s v="EMP0098"/>
    <s v="Hassan Alghamdi"/>
    <x v="4"/>
    <s v="Administrative Supervisor"/>
    <s v="Male"/>
    <d v="2023-05-12T00:00:00"/>
    <n v="13900"/>
    <n v="4"/>
    <s v="Active"/>
    <s v="Dammam"/>
  </r>
  <r>
    <s v="EMP0099"/>
    <s v="Ahmed Alharbi"/>
    <x v="6"/>
    <s v="IT Support"/>
    <s v="Male"/>
    <d v="2015-11-15T00:00:00"/>
    <n v="6500"/>
    <n v="3"/>
    <s v="Active"/>
    <s v="Riyadh"/>
  </r>
  <r>
    <s v="EMP0100"/>
    <s v="Omar Alsharif"/>
    <x v="2"/>
    <s v="Key Account Manager"/>
    <s v="Male"/>
    <d v="2016-03-07T00:00:00"/>
    <n v="13300"/>
    <n v="2"/>
    <s v="Resigned"/>
    <s v="Jeddah"/>
  </r>
  <r>
    <s v="EMP0101"/>
    <s v="Noura Alnasser"/>
    <x v="1"/>
    <s v="Team Leader"/>
    <s v="Female"/>
    <d v="2017-05-21T00:00:00"/>
    <n v="9800"/>
    <n v="2"/>
    <s v="Active"/>
    <s v="Jeddah"/>
  </r>
  <r>
    <s v="EMP0102"/>
    <s v="Mohammed Alqahtani"/>
    <x v="2"/>
    <s v="Sales Analyst"/>
    <s v="Male"/>
    <d v="2019-11-01T00:00:00"/>
    <n v="12500"/>
    <n v="4"/>
    <s v="Active"/>
    <s v="Madinah"/>
  </r>
  <r>
    <s v="EMP0103"/>
    <s v="Omar Alghamdi"/>
    <x v="7"/>
    <s v="Digital Marketing Specialist"/>
    <s v="Male"/>
    <d v="2020-03-19T00:00:00"/>
    <n v="10900"/>
    <n v="4"/>
    <s v="On Leave"/>
    <s v="Riyadh"/>
  </r>
  <r>
    <s v="EMP0104"/>
    <s v="Reem Alghamdi"/>
    <x v="5"/>
    <s v="Operations Coordinator"/>
    <s v="Female"/>
    <d v="2020-02-28T00:00:00"/>
    <n v="8800"/>
    <n v="5"/>
    <s v="Active"/>
    <s v="Jeddah"/>
  </r>
  <r>
    <s v="EMP0105"/>
    <s v="Hala Alansari"/>
    <x v="6"/>
    <s v="IT Support"/>
    <s v="Female"/>
    <d v="2018-07-08T00:00:00"/>
    <n v="7600"/>
    <n v="4"/>
    <s v="On Leave"/>
    <s v="Riyadh"/>
  </r>
  <r>
    <s v="EMP0106"/>
    <s v="Yousef Aljuhani"/>
    <x v="4"/>
    <s v="Executive Secretary"/>
    <s v="Male"/>
    <d v="2025-09-01T00:00:00"/>
    <n v="9700"/>
    <n v="3"/>
    <s v="Active"/>
    <s v="Dammam"/>
  </r>
  <r>
    <s v="EMP0107"/>
    <s v="Ibrahim Alhazmi"/>
    <x v="5"/>
    <s v="Operations Specialist"/>
    <s v="Male"/>
    <d v="2025-04-26T00:00:00"/>
    <n v="8500"/>
    <n v="3"/>
    <s v="Resigned"/>
    <s v="Riyadh"/>
  </r>
  <r>
    <s v="EMP0108"/>
    <s v="Maryam Alansari"/>
    <x v="0"/>
    <s v="Financial Analyst"/>
    <s v="Female"/>
    <d v="2015-06-02T00:00:00"/>
    <n v="12300"/>
    <n v="3"/>
    <s v="Active"/>
    <s v="Makkah"/>
  </r>
  <r>
    <s v="EMP0109"/>
    <s v="Hanan Alamri"/>
    <x v="1"/>
    <s v="Customer Service Agent"/>
    <s v="Female"/>
    <d v="2017-12-02T00:00:00"/>
    <n v="6900"/>
    <n v="3"/>
    <s v="Active"/>
    <s v="Jeddah"/>
  </r>
  <r>
    <s v="EMP0110"/>
    <s v="Fahad Alzahrani"/>
    <x v="1"/>
    <s v="Customer Service Agent"/>
    <s v="Male"/>
    <d v="2020-04-28T00:00:00"/>
    <n v="6600"/>
    <n v="4"/>
    <s v="Active"/>
    <s v="Dammam"/>
  </r>
  <r>
    <s v="EMP0111"/>
    <s v="Maha Alghamdi"/>
    <x v="5"/>
    <s v="Operations Manager"/>
    <s v="Female"/>
    <d v="2021-06-09T00:00:00"/>
    <n v="21200"/>
    <n v="3"/>
    <s v="Resigned"/>
    <s v="Dammam"/>
  </r>
  <r>
    <s v="EMP0112"/>
    <s v="Amal Almalki"/>
    <x v="0"/>
    <s v="Financial Analyst"/>
    <s v="Female"/>
    <d v="2014-07-21T00:00:00"/>
    <n v="11900"/>
    <n v="3"/>
    <s v="Active"/>
    <s v="Jeddah"/>
  </r>
  <r>
    <s v="EMP0113"/>
    <s v="Maha Aljuhani"/>
    <x v="6"/>
    <s v="Systems Administrator"/>
    <s v="Female"/>
    <d v="2025-06-10T00:00:00"/>
    <n v="12700"/>
    <n v="4"/>
    <s v="Active"/>
    <s v="Riyadh"/>
  </r>
  <r>
    <s v="EMP0114"/>
    <s v="Reem Alnasser"/>
    <x v="5"/>
    <s v="Operations Analyst"/>
    <s v="Female"/>
    <d v="2024-08-13T00:00:00"/>
    <n v="9700"/>
    <n v="4"/>
    <s v="Active"/>
    <s v="Jeddah"/>
  </r>
  <r>
    <s v="EMP0115"/>
    <s v="Rayan Alamri"/>
    <x v="7"/>
    <s v="Content Specialist"/>
    <s v="Male"/>
    <d v="2014-07-08T00:00:00"/>
    <n v="11300"/>
    <n v="4"/>
    <s v="Resigned"/>
    <s v="Jeddah"/>
  </r>
  <r>
    <s v="EMP0116"/>
    <s v="Saad Alansari"/>
    <x v="6"/>
    <s v="Data Analyst"/>
    <s v="Male"/>
    <d v="2019-04-16T00:00:00"/>
    <n v="12600"/>
    <n v="4"/>
    <s v="On Leave"/>
    <s v="Riyadh"/>
  </r>
  <r>
    <s v="EMP0117"/>
    <s v="Hanan Alfarsi"/>
    <x v="3"/>
    <s v="HR Operations Specialist"/>
    <s v="Female"/>
    <d v="2020-07-12T00:00:00"/>
    <n v="12300"/>
    <n v="4"/>
    <s v="Active"/>
    <s v="Jeddah"/>
  </r>
  <r>
    <s v="EMP0118"/>
    <s v="Mohammed Alsubaie"/>
    <x v="2"/>
    <s v="Sales Analyst"/>
    <s v="Male"/>
    <d v="2021-09-17T00:00:00"/>
    <n v="13000"/>
    <n v="5"/>
    <s v="Active"/>
    <s v="Jeddah"/>
  </r>
  <r>
    <s v="EMP0119"/>
    <s v="Huda Alshammari"/>
    <x v="6"/>
    <s v="IT Manager"/>
    <s v="Female"/>
    <d v="2014-02-04T00:00:00"/>
    <n v="22700"/>
    <n v="2"/>
    <s v="Active"/>
    <s v="Jeddah"/>
  </r>
  <r>
    <s v="EMP0120"/>
    <s v="Reem Almalki"/>
    <x v="1"/>
    <s v="Team Leader"/>
    <s v="Female"/>
    <d v="2018-11-20T00:00:00"/>
    <n v="11700"/>
    <n v="3"/>
    <s v="Active"/>
    <s v="Riyadh"/>
  </r>
  <r>
    <s v="EMP0121"/>
    <s v="Nada Aljuhani"/>
    <x v="0"/>
    <s v="Senior Accountant"/>
    <s v="Female"/>
    <d v="2020-06-04T00:00:00"/>
    <n v="17200"/>
    <n v="3"/>
    <s v="Resigned"/>
    <s v="Makkah"/>
  </r>
  <r>
    <s v="EMP0122"/>
    <s v="Ali Alghamdi"/>
    <x v="2"/>
    <s v="Key Account Manager"/>
    <s v="Male"/>
    <d v="2024-03-15T00:00:00"/>
    <n v="14100"/>
    <n v="4"/>
    <s v="Active"/>
    <s v="Madinah"/>
  </r>
  <r>
    <s v="EMP0123"/>
    <s v="Fatimah Aljuhani"/>
    <x v="4"/>
    <s v="Executive Secretary"/>
    <s v="Female"/>
    <d v="2016-01-31T00:00:00"/>
    <n v="10600"/>
    <n v="2"/>
    <s v="Resigned"/>
    <s v="Jeddah"/>
  </r>
  <r>
    <s v="EMP0124"/>
    <s v="Faisal Alsubaie"/>
    <x v="2"/>
    <s v="Sales Analyst"/>
    <s v="Male"/>
    <d v="2019-01-25T00:00:00"/>
    <n v="13000"/>
    <n v="4"/>
    <s v="Active"/>
    <s v="Jeddah"/>
  </r>
  <r>
    <s v="EMP0125"/>
    <s v="Hanan Alfarsi"/>
    <x v="7"/>
    <s v="Marketing Coordinator"/>
    <s v="Female"/>
    <d v="2025-09-23T00:00:00"/>
    <n v="8700"/>
    <n v="4"/>
    <s v="Active"/>
    <s v="Riyadh"/>
  </r>
  <r>
    <s v="EMP0126"/>
    <s v="Rayan Almalki"/>
    <x v="2"/>
    <s v="Sales Analyst"/>
    <s v="Male"/>
    <d v="2022-02-05T00:00:00"/>
    <n v="11600"/>
    <n v="1"/>
    <s v="Active"/>
    <s v="Jeddah"/>
  </r>
  <r>
    <s v="EMP0127"/>
    <s v="Lina Alfarsi"/>
    <x v="2"/>
    <s v="Key Account Manager"/>
    <s v="Female"/>
    <d v="2023-03-26T00:00:00"/>
    <n v="14400"/>
    <n v="5"/>
    <s v="Active"/>
    <s v="Riyadh"/>
  </r>
  <r>
    <s v="EMP0128"/>
    <s v="Majed Alansari"/>
    <x v="5"/>
    <s v="Operations Analyst"/>
    <s v="Male"/>
    <d v="2026-05-07T00:00:00"/>
    <n v="9800"/>
    <n v="3"/>
    <s v="Active"/>
    <s v="Jeddah"/>
  </r>
  <r>
    <s v="EMP0129"/>
    <s v="Hamad Alzahrani"/>
    <x v="1"/>
    <s v="Team Leader"/>
    <s v="Male"/>
    <d v="2018-09-24T00:00:00"/>
    <n v="12600"/>
    <n v="4"/>
    <s v="Active"/>
    <s v="Riyadh"/>
  </r>
  <r>
    <s v="EMP0130"/>
    <s v="Turki Alzubaidi"/>
    <x v="4"/>
    <s v="Office Coordinator"/>
    <s v="Male"/>
    <d v="2018-03-11T00:00:00"/>
    <n v="7700"/>
    <n v="4"/>
    <s v="Active"/>
    <s v="Madinah"/>
  </r>
  <r>
    <s v="EMP0131"/>
    <s v="Raghad Aljuhani"/>
    <x v="3"/>
    <s v="HR Assistant"/>
    <s v="Female"/>
    <d v="2023-01-18T00:00:00"/>
    <n v="5800"/>
    <n v="3"/>
    <s v="Active"/>
    <s v="Riyadh"/>
  </r>
  <r>
    <s v="EMP0132"/>
    <s v="Maha Alansari"/>
    <x v="7"/>
    <s v="Content Specialist"/>
    <s v="Female"/>
    <d v="2022-09-24T00:00:00"/>
    <n v="11300"/>
    <n v="3"/>
    <s v="Resigned"/>
    <s v="Riyadh"/>
  </r>
  <r>
    <s v="EMP0133"/>
    <s v="Maryam Alzubaidi"/>
    <x v="5"/>
    <s v="Operations Supervisor"/>
    <s v="Female"/>
    <d v="2017-03-17T00:00:00"/>
    <n v="16400"/>
    <n v="3"/>
    <s v="Active"/>
    <s v="Jeddah"/>
  </r>
  <r>
    <s v="EMP0134"/>
    <s v="Rana Alhazmi"/>
    <x v="0"/>
    <s v="Financial Analyst"/>
    <s v="Female"/>
    <d v="2021-07-13T00:00:00"/>
    <n v="11200"/>
    <n v="4"/>
    <s v="Resigned"/>
    <s v="Riyadh"/>
  </r>
  <r>
    <s v="EMP0135"/>
    <s v="Rayan Alghamdi"/>
    <x v="4"/>
    <s v="Executive Secretary"/>
    <s v="Male"/>
    <d v="2019-09-30T00:00:00"/>
    <n v="9600"/>
    <n v="5"/>
    <s v="Active"/>
    <s v="Dammam"/>
  </r>
  <r>
    <s v="EMP0136"/>
    <s v="Majed Alamri"/>
    <x v="5"/>
    <s v="Operations Analyst"/>
    <s v="Male"/>
    <d v="2017-07-23T00:00:00"/>
    <n v="10600"/>
    <n v="4"/>
    <s v="Active"/>
    <s v="Dammam"/>
  </r>
  <r>
    <s v="EMP0137"/>
    <s v="Aisha Alghamdi"/>
    <x v="5"/>
    <s v="Operations Specialist"/>
    <s v="Female"/>
    <d v="2021-09-03T00:00:00"/>
    <n v="10600"/>
    <n v="3"/>
    <s v="Active"/>
    <s v="Riyadh"/>
  </r>
  <r>
    <s v="EMP0138"/>
    <s v="Raghad Alhazmi"/>
    <x v="4"/>
    <s v="Executive Secretary"/>
    <s v="Female"/>
    <d v="2015-03-07T00:00:00"/>
    <n v="10100"/>
    <n v="4"/>
    <s v="Active"/>
    <s v="Makkah"/>
  </r>
  <r>
    <s v="EMP0139"/>
    <s v="Omar Alotaibi"/>
    <x v="0"/>
    <s v="Financial Analyst"/>
    <s v="Male"/>
    <d v="2026-05-03T00:00:00"/>
    <n v="11300"/>
    <n v="4"/>
    <s v="Active"/>
    <s v="Riyadh"/>
  </r>
  <r>
    <s v="EMP0140"/>
    <s v="Bader Alshammari"/>
    <x v="1"/>
    <s v="Customer Support Specialist"/>
    <s v="Male"/>
    <d v="2020-11-25T00:00:00"/>
    <n v="6800"/>
    <n v="3"/>
    <s v="Active"/>
    <s v="Madinah"/>
  </r>
  <r>
    <s v="EMP0141"/>
    <s v="Sultan Alhazmi"/>
    <x v="7"/>
    <s v="Marketing Coordinator"/>
    <s v="Male"/>
    <d v="2017-09-16T00:00:00"/>
    <n v="6400"/>
    <n v="4"/>
    <s v="On Leave"/>
    <s v="Riyadh"/>
  </r>
  <r>
    <s v="EMP0142"/>
    <s v="Abdullah Alshammari"/>
    <x v="6"/>
    <s v="Data Analyst"/>
    <s v="Male"/>
    <d v="2019-07-24T00:00:00"/>
    <n v="9800"/>
    <n v="3"/>
    <s v="Active"/>
    <s v="Jeddah"/>
  </r>
  <r>
    <s v="EMP0143"/>
    <s v="Omar Aljuhani"/>
    <x v="7"/>
    <s v="Marketing Manager"/>
    <s v="Male"/>
    <d v="2014-09-28T00:00:00"/>
    <n v="19500"/>
    <n v="3"/>
    <s v="Active"/>
    <s v="Riyadh"/>
  </r>
  <r>
    <s v="EMP0144"/>
    <s v="Ali Alrashidi"/>
    <x v="5"/>
    <s v="Operations Specialist"/>
    <s v="Male"/>
    <d v="2024-01-20T00:00:00"/>
    <n v="8000"/>
    <n v="3"/>
    <s v="Active"/>
    <s v="Jeddah"/>
  </r>
  <r>
    <s v="EMP0145"/>
    <s v="Bader Alotaibi"/>
    <x v="7"/>
    <s v="Content Specialist"/>
    <s v="Male"/>
    <d v="2019-07-27T00:00:00"/>
    <n v="8500"/>
    <n v="2"/>
    <s v="Active"/>
    <s v="Riyadh"/>
  </r>
  <r>
    <s v="EMP0146"/>
    <s v="Fahad Alzahrani"/>
    <x v="5"/>
    <s v="Operations Supervisor"/>
    <s v="Male"/>
    <d v="2022-04-04T00:00:00"/>
    <n v="12100"/>
    <n v="4"/>
    <s v="Active"/>
    <s v="Jeddah"/>
  </r>
  <r>
    <s v="EMP0147"/>
    <s v="Bader Alharthi"/>
    <x v="0"/>
    <s v="Accountant"/>
    <s v="Male"/>
    <d v="2022-12-28T00:00:00"/>
    <n v="9000"/>
    <n v="4"/>
    <s v="Resigned"/>
    <s v="Jeddah"/>
  </r>
  <r>
    <s v="EMP0148"/>
    <s v="Reem Alrashidi"/>
    <x v="3"/>
    <s v="HR Assistant"/>
    <s v="Female"/>
    <d v="2017-08-13T00:00:00"/>
    <n v="6900"/>
    <n v="4"/>
    <s v="Active"/>
    <s v="Riyadh"/>
  </r>
  <r>
    <s v="EMP0149"/>
    <s v="Maryam Alamri"/>
    <x v="4"/>
    <s v="Office Coordinator"/>
    <s v="Female"/>
    <d v="2020-06-15T00:00:00"/>
    <n v="9300"/>
    <n v="3"/>
    <s v="On Leave"/>
    <s v="Riyadh"/>
  </r>
  <r>
    <s v="EMP0150"/>
    <s v="Reem Alsharif"/>
    <x v="7"/>
    <s v="Content Specialist"/>
    <s v="Female"/>
    <d v="2014-11-22T00:00:00"/>
    <n v="9100"/>
    <n v="4"/>
    <s v="Resigned"/>
    <s v="Jeddah"/>
  </r>
  <r>
    <s v="EMP0151"/>
    <s v="Saad Alansari"/>
    <x v="5"/>
    <s v="Operations Analyst"/>
    <s v="Male"/>
    <d v="2026-07-13T00:00:00"/>
    <n v="13800"/>
    <n v="5"/>
    <s v="On Leave"/>
    <s v="Riyadh"/>
  </r>
  <r>
    <s v="EMP0152"/>
    <s v="Majed Alamri"/>
    <x v="0"/>
    <s v="Accounting Assistant"/>
    <s v="Male"/>
    <d v="2016-11-25T00:00:00"/>
    <n v="6400"/>
    <n v="3"/>
    <s v="Active"/>
    <s v="Jeddah"/>
  </r>
  <r>
    <s v="EMP0153"/>
    <s v="Maha Alharbi"/>
    <x v="4"/>
    <s v="Office Coordinator"/>
    <s v="Female"/>
    <d v="2020-10-22T00:00:00"/>
    <n v="6800"/>
    <n v="4"/>
    <s v="Active"/>
    <s v="Jeddah"/>
  </r>
  <r>
    <s v="EMP0154"/>
    <s v="Sultan Alsharif"/>
    <x v="5"/>
    <s v="Operations Specialist"/>
    <s v="Male"/>
    <d v="2015-11-27T00:00:00"/>
    <n v="8000"/>
    <n v="2"/>
    <s v="Active"/>
    <s v="Riyadh"/>
  </r>
  <r>
    <s v="EMP0155"/>
    <s v="Reem Alharbi"/>
    <x v="1"/>
    <s v="Quality Analyst"/>
    <s v="Female"/>
    <d v="2015-07-13T00:00:00"/>
    <n v="8000"/>
    <n v="4"/>
    <s v="Active"/>
    <s v="Riyadh"/>
  </r>
  <r>
    <s v="EMP0156"/>
    <s v="Turki Alsubaie"/>
    <x v="0"/>
    <s v="Financial Analyst"/>
    <s v="Male"/>
    <d v="2023-01-27T00:00:00"/>
    <n v="13100"/>
    <n v="3"/>
    <s v="Active"/>
    <s v="Makkah"/>
  </r>
  <r>
    <s v="EMP0157"/>
    <s v="Rana Alhazmi"/>
    <x v="0"/>
    <s v="Financial Analyst"/>
    <s v="Female"/>
    <d v="2016-08-12T00:00:00"/>
    <n v="12100"/>
    <n v="4"/>
    <s v="Active"/>
    <s v="Riyadh"/>
  </r>
  <r>
    <s v="EMP0158"/>
    <s v="Omar Alamri"/>
    <x v="6"/>
    <s v="IT Support"/>
    <s v="Male"/>
    <d v="2022-02-11T00:00:00"/>
    <n v="8300"/>
    <n v="4"/>
    <s v="Active"/>
    <s v="Riyadh"/>
  </r>
  <r>
    <s v="EMP0159"/>
    <s v="Amal Alansari"/>
    <x v="3"/>
    <s v="HR Assistant"/>
    <s v="Female"/>
    <d v="2020-07-28T00:00:00"/>
    <n v="7300"/>
    <n v="5"/>
    <s v="Active"/>
    <s v="Madinah"/>
  </r>
  <r>
    <s v="EMP0160"/>
    <s v="Faisal Alsubaie"/>
    <x v="2"/>
    <s v="Key Account Manager"/>
    <s v="Male"/>
    <d v="2019-04-13T00:00:00"/>
    <n v="15100"/>
    <n v="4"/>
    <s v="Active"/>
    <s v="Jeddah"/>
  </r>
  <r>
    <s v="EMP0161"/>
    <s v="Majed Alnasser"/>
    <x v="6"/>
    <s v="Systems Administrator"/>
    <s v="Male"/>
    <d v="2014-07-10T00:00:00"/>
    <n v="12900"/>
    <n v="4"/>
    <s v="Active"/>
    <s v="Riyadh"/>
  </r>
  <r>
    <s v="EMP0162"/>
    <s v="Mohammed Alansari"/>
    <x v="7"/>
    <s v="Marketing Manager"/>
    <s v="Male"/>
    <d v="2024-10-23T00:00:00"/>
    <n v="19700"/>
    <n v="3"/>
    <s v="Active"/>
    <s v="Jeddah"/>
  </r>
  <r>
    <s v="EMP0163"/>
    <s v="Ahmed Alfarsi"/>
    <x v="0"/>
    <s v="Accounting Assistant"/>
    <s v="Male"/>
    <d v="2025-09-04T00:00:00"/>
    <n v="5800"/>
    <n v="3"/>
    <s v="Active"/>
    <s v="Jeddah"/>
  </r>
  <r>
    <s v="EMP0164"/>
    <s v="Nada Alamri"/>
    <x v="7"/>
    <s v="Digital Marketing Specialist"/>
    <s v="Female"/>
    <d v="2019-03-29T00:00:00"/>
    <n v="10600"/>
    <n v="2"/>
    <s v="Active"/>
    <s v="Jeddah"/>
  </r>
  <r>
    <s v="EMP0165"/>
    <s v="Fahad Aljuhani"/>
    <x v="5"/>
    <s v="Operations Analyst"/>
    <s v="Male"/>
    <d v="2025-04-15T00:00:00"/>
    <n v="13100"/>
    <n v="4"/>
    <s v="Active"/>
    <s v="Jeddah"/>
  </r>
  <r>
    <s v="EMP0166"/>
    <s v="Hanan Alharbi"/>
    <x v="5"/>
    <s v="Operations Supervisor"/>
    <s v="Female"/>
    <d v="2026-01-09T00:00:00"/>
    <n v="16400"/>
    <n v="4"/>
    <s v="Resigned"/>
    <s v="Riyadh"/>
  </r>
  <r>
    <s v="EMP0167"/>
    <s v="Hala Almutairi"/>
    <x v="0"/>
    <s v="Accountant"/>
    <s v="Female"/>
    <d v="2017-02-13T00:00:00"/>
    <n v="11500"/>
    <n v="3"/>
    <s v="Active"/>
    <s v="Jeddah"/>
  </r>
  <r>
    <s v="EMP0168"/>
    <s v="Dana Alhazmi"/>
    <x v="6"/>
    <s v="IT Support"/>
    <s v="Female"/>
    <d v="2026-03-06T00:00:00"/>
    <n v="8000"/>
    <n v="4"/>
    <s v="Active"/>
    <s v="Dammam"/>
  </r>
  <r>
    <s v="EMP0169"/>
    <s v="Saad Alshammari"/>
    <x v="5"/>
    <s v="Operations Analyst"/>
    <s v="Male"/>
    <d v="2020-04-21T00:00:00"/>
    <n v="9800"/>
    <n v="4"/>
    <s v="Active"/>
    <s v="Jeddah"/>
  </r>
  <r>
    <s v="EMP0170"/>
    <s v="Huda Alzahrani"/>
    <x v="5"/>
    <s v="Operations Supervisor"/>
    <s v="Female"/>
    <d v="2024-05-26T00:00:00"/>
    <n v="16100"/>
    <n v="4"/>
    <s v="Active"/>
    <s v="Makkah"/>
  </r>
  <r>
    <s v="EMP0171"/>
    <s v="Saleh Alrashidi"/>
    <x v="6"/>
    <s v="Systems Administrator"/>
    <s v="Male"/>
    <d v="2019-10-11T00:00:00"/>
    <n v="10200"/>
    <n v="1"/>
    <s v="Active"/>
    <s v="Makkah"/>
  </r>
  <r>
    <s v="EMP0172"/>
    <s v="Ibrahim Alzubaidi"/>
    <x v="3"/>
    <s v="HR Supervisor"/>
    <s v="Male"/>
    <d v="2024-07-13T00:00:00"/>
    <n v="15800"/>
    <n v="3"/>
    <s v="Active"/>
    <s v="Jeddah"/>
  </r>
  <r>
    <s v="EMP0173"/>
    <s v="Saleh Alshammari"/>
    <x v="4"/>
    <s v="Administrative Supervisor"/>
    <s v="Male"/>
    <d v="2022-06-10T00:00:00"/>
    <n v="10300"/>
    <n v="4"/>
    <s v="Active"/>
    <s v="Makkah"/>
  </r>
  <r>
    <s v="EMP0174"/>
    <s v="Hamad Alnasser"/>
    <x v="4"/>
    <s v="Office Coordinator"/>
    <s v="Male"/>
    <d v="2015-05-19T00:00:00"/>
    <n v="8600"/>
    <n v="5"/>
    <s v="Active"/>
    <s v="Makkah"/>
  </r>
  <r>
    <s v="EMP0175"/>
    <s v="Fahad Alharbi"/>
    <x v="5"/>
    <s v="Operations Specialist"/>
    <s v="Male"/>
    <d v="2026-07-04T00:00:00"/>
    <n v="8100"/>
    <n v="4"/>
    <s v="Active"/>
    <s v="Madinah"/>
  </r>
  <r>
    <s v="EMP0176"/>
    <s v="Ibrahim Alqahtani"/>
    <x v="3"/>
    <s v="HR Supervisor"/>
    <s v="Male"/>
    <d v="2023-02-22T00:00:00"/>
    <n v="13200"/>
    <n v="4"/>
    <s v="Active"/>
    <s v="Jeddah"/>
  </r>
  <r>
    <s v="EMP0177"/>
    <s v="Saad Alotaibi"/>
    <x v="0"/>
    <s v="Accounting Assistant"/>
    <s v="Male"/>
    <d v="2022-06-28T00:00:00"/>
    <n v="5700"/>
    <n v="3"/>
    <s v="Active"/>
    <s v="Dammam"/>
  </r>
  <r>
    <s v="EMP0178"/>
    <s v="Majed Alotaibi"/>
    <x v="5"/>
    <s v="Operations Coordinator"/>
    <s v="Male"/>
    <d v="2023-10-13T00:00:00"/>
    <n v="7200"/>
    <n v="2"/>
    <s v="Active"/>
    <s v="Jeddah"/>
  </r>
  <r>
    <s v="EMP0179"/>
    <s v="Khalid Almalki"/>
    <x v="1"/>
    <s v="Customer Service Manager"/>
    <s v="Male"/>
    <d v="2025-12-23T00:00:00"/>
    <n v="15500"/>
    <n v="4"/>
    <s v="Active"/>
    <s v="Riyadh"/>
  </r>
  <r>
    <s v="EMP0180"/>
    <s v="Reem Almalki"/>
    <x v="5"/>
    <s v="Operations Specialist"/>
    <s v="Female"/>
    <d v="2025-11-16T00:00:00"/>
    <n v="11200"/>
    <n v="4"/>
    <s v="Active"/>
    <s v="Makkah"/>
  </r>
  <r>
    <s v="EMP0181"/>
    <s v="Hala Alharthi"/>
    <x v="5"/>
    <s v="Operations Analyst"/>
    <s v="Female"/>
    <d v="2020-03-30T00:00:00"/>
    <n v="9100"/>
    <n v="2"/>
    <s v="Active"/>
    <s v="Jeddah"/>
  </r>
  <r>
    <s v="EMP0182"/>
    <s v="Sara Alharbi"/>
    <x v="6"/>
    <s v="Systems Administrator"/>
    <s v="Female"/>
    <d v="2020-05-13T00:00:00"/>
    <n v="11400"/>
    <n v="4"/>
    <s v="Active"/>
    <s v="Jeddah"/>
  </r>
  <r>
    <s v="EMP0183"/>
    <s v="Bader Alnasser"/>
    <x v="1"/>
    <s v="Customer Service Agent"/>
    <s v="Male"/>
    <d v="2025-03-25T00:00:00"/>
    <n v="5500"/>
    <n v="4"/>
    <s v="Active"/>
    <s v="Jeddah"/>
  </r>
  <r>
    <s v="EMP0184"/>
    <s v="Aisha Alfarsi"/>
    <x v="6"/>
    <s v="IT Manager"/>
    <s v="Female"/>
    <d v="2015-01-22T00:00:00"/>
    <n v="19500"/>
    <n v="4"/>
    <s v="Active"/>
    <s v="Jeddah"/>
  </r>
  <r>
    <s v="EMP0185"/>
    <s v="Faisal Alzahrani"/>
    <x v="3"/>
    <s v="HR Operations Specialist"/>
    <s v="Male"/>
    <d v="2022-05-09T00:00:00"/>
    <n v="8400"/>
    <n v="4"/>
    <s v="Active"/>
    <s v="Riyadh"/>
  </r>
  <r>
    <s v="EMP0186"/>
    <s v="Abeer Alsharif"/>
    <x v="5"/>
    <s v="Operations Supervisor"/>
    <s v="Female"/>
    <d v="2022-10-04T00:00:00"/>
    <n v="16100"/>
    <n v="1"/>
    <s v="Active"/>
    <s v="Jeddah"/>
  </r>
  <r>
    <s v="EMP0187"/>
    <s v="Yousef Alamri"/>
    <x v="5"/>
    <s v="Operations Specialist"/>
    <s v="Male"/>
    <d v="2024-09-28T00:00:00"/>
    <n v="11500"/>
    <n v="4"/>
    <s v="Active"/>
    <s v="Jeddah"/>
  </r>
  <r>
    <s v="EMP0188"/>
    <s v="Khalid Alghamdi"/>
    <x v="7"/>
    <s v="Marketing Coordinator"/>
    <s v="Male"/>
    <d v="2024-10-20T00:00:00"/>
    <n v="6700"/>
    <n v="4"/>
    <s v="Active"/>
    <s v="Jeddah"/>
  </r>
  <r>
    <s v="EMP0189"/>
    <s v="Raghad Alshammari"/>
    <x v="6"/>
    <s v="Software Engineer"/>
    <s v="Female"/>
    <d v="2024-02-12T00:00:00"/>
    <n v="11500"/>
    <n v="4"/>
    <s v="Resigned"/>
    <s v="Jeddah"/>
  </r>
  <r>
    <s v="EMP0190"/>
    <s v="Hanan Alotaibi"/>
    <x v="0"/>
    <s v="Accounting Assistant"/>
    <s v="Female"/>
    <d v="2016-09-01T00:00:00"/>
    <n v="6400"/>
    <n v="4"/>
    <s v="Active"/>
    <s v="Riyadh"/>
  </r>
  <r>
    <s v="EMP0191"/>
    <s v="Reem Alharbi"/>
    <x v="2"/>
    <s v="Account Executive"/>
    <s v="Female"/>
    <d v="2022-06-29T00:00:00"/>
    <n v="8600"/>
    <n v="5"/>
    <s v="Active"/>
    <s v="Jeddah"/>
  </r>
  <r>
    <s v="EMP0192"/>
    <s v="Raghad Alzahrani"/>
    <x v="7"/>
    <s v="Content Specialist"/>
    <s v="Female"/>
    <d v="2015-12-12T00:00:00"/>
    <n v="10900"/>
    <n v="4"/>
    <s v="On Leave"/>
    <s v="Jeddah"/>
  </r>
  <r>
    <s v="EMP0193"/>
    <s v="Omar Alzubaidi"/>
    <x v="1"/>
    <s v="Customer Service Agent"/>
    <s v="Male"/>
    <d v="2026-05-11T00:00:00"/>
    <n v="5000"/>
    <n v="3"/>
    <s v="Active"/>
    <s v="Riyadh"/>
  </r>
  <r>
    <s v="EMP0194"/>
    <s v="Bader Alzubaidi"/>
    <x v="1"/>
    <s v="Customer Support Specialist"/>
    <s v="Male"/>
    <d v="2019-01-18T00:00:00"/>
    <n v="8600"/>
    <n v="1"/>
    <s v="Active"/>
    <s v="Jeddah"/>
  </r>
  <r>
    <s v="EMP0195"/>
    <s v="Sultan Almalki"/>
    <x v="6"/>
    <s v="Software Engineer"/>
    <s v="Male"/>
    <d v="2019-11-09T00:00:00"/>
    <n v="12300"/>
    <n v="4"/>
    <s v="Resigned"/>
    <s v="Jeddah"/>
  </r>
  <r>
    <s v="EMP0196"/>
    <s v="Ibrahim Alrashidi"/>
    <x v="5"/>
    <s v="Operations Analyst"/>
    <s v="Male"/>
    <d v="2018-10-22T00:00:00"/>
    <n v="13400"/>
    <n v="4"/>
    <s v="Active"/>
    <s v="Jeddah"/>
  </r>
  <r>
    <s v="EMP0197"/>
    <s v="Yousef Alamri"/>
    <x v="6"/>
    <s v="Data Analyst"/>
    <s v="Male"/>
    <d v="2026-04-06T00:00:00"/>
    <n v="11100"/>
    <n v="3"/>
    <s v="Active"/>
    <s v="Riyadh"/>
  </r>
  <r>
    <s v="EMP0198"/>
    <s v="Ibrahim Alsharif"/>
    <x v="1"/>
    <s v="Quality Analyst"/>
    <s v="Male"/>
    <d v="2025-04-28T00:00:00"/>
    <n v="10400"/>
    <n v="3"/>
    <s v="On Leave"/>
    <s v="Riyadh"/>
  </r>
  <r>
    <s v="EMP0199"/>
    <s v="Rayan Almalki"/>
    <x v="2"/>
    <s v="Account Executive"/>
    <s v="Male"/>
    <d v="2022-11-27T00:00:00"/>
    <n v="7900"/>
    <n v="4"/>
    <s v="Active"/>
    <s v="Dammam"/>
  </r>
  <r>
    <s v="EMP0200"/>
    <s v="Bader Almalki"/>
    <x v="5"/>
    <s v="Operations Specialist"/>
    <s v="Male"/>
    <d v="2023-04-22T00:00:00"/>
    <n v="8700"/>
    <n v="3"/>
    <s v="Active"/>
    <s v="Riyadh"/>
  </r>
  <r>
    <s v="EMP0201"/>
    <s v="Abdullah Alghamdi"/>
    <x v="7"/>
    <s v="Digital Marketing Specialist"/>
    <s v="Male"/>
    <d v="2016-08-18T00:00:00"/>
    <n v="11300"/>
    <n v="2"/>
    <s v="Active"/>
    <s v="Jeddah"/>
  </r>
  <r>
    <s v="EMP0202"/>
    <s v="Hamad Alghamdi"/>
    <x v="3"/>
    <s v="HR Manager"/>
    <s v="Male"/>
    <d v="2022-05-13T00:00:00"/>
    <n v="22300"/>
    <n v="3"/>
    <s v="Active"/>
    <s v="Riyadh"/>
  </r>
  <r>
    <s v="EMP0203"/>
    <s v="Lama Aljuhani"/>
    <x v="7"/>
    <s v="Digital Marketing Specialist"/>
    <s v="Female"/>
    <d v="2022-04-16T00:00:00"/>
    <n v="11800"/>
    <n v="3"/>
    <s v="Active"/>
    <s v="Riyadh"/>
  </r>
  <r>
    <s v="EMP0204"/>
    <s v="Rana Alghamdi"/>
    <x v="0"/>
    <s v="Financial Analyst"/>
    <s v="Female"/>
    <d v="2024-02-01T00:00:00"/>
    <n v="13400"/>
    <n v="3"/>
    <s v="Active"/>
    <s v="Jeddah"/>
  </r>
  <r>
    <s v="EMP0205"/>
    <s v="Reem Alamri"/>
    <x v="5"/>
    <s v="Operations Supervisor"/>
    <s v="Female"/>
    <d v="2014-01-18T00:00:00"/>
    <n v="14000"/>
    <n v="5"/>
    <s v="Active"/>
    <s v="Riyadh"/>
  </r>
  <r>
    <s v="EMP0206"/>
    <s v="Hassan Alsaadi"/>
    <x v="1"/>
    <s v="Team Leader"/>
    <s v="Male"/>
    <d v="2026-08-10T00:00:00"/>
    <n v="9600"/>
    <n v="2"/>
    <s v="Active"/>
    <s v="Madinah"/>
  </r>
  <r>
    <s v="EMP0207"/>
    <s v="Raghad Alamri"/>
    <x v="1"/>
    <s v="Team Leader"/>
    <s v="Female"/>
    <d v="2019-12-07T00:00:00"/>
    <n v="9700"/>
    <n v="4"/>
    <s v="Active"/>
    <s v="Jeddah"/>
  </r>
  <r>
    <s v="EMP0208"/>
    <s v="Sara Alharthi"/>
    <x v="6"/>
    <s v="Systems Administrator"/>
    <s v="Female"/>
    <d v="2026-02-12T00:00:00"/>
    <n v="10400"/>
    <n v="5"/>
    <s v="Active"/>
    <s v="Jeddah"/>
  </r>
  <r>
    <s v="EMP0209"/>
    <s v="Maryam Alsubaie"/>
    <x v="1"/>
    <s v="Customer Support Specialist"/>
    <s v="Female"/>
    <d v="2022-05-01T00:00:00"/>
    <n v="8400"/>
    <n v="3"/>
    <s v="Active"/>
    <s v="Makkah"/>
  </r>
  <r>
    <s v="EMP0210"/>
    <s v="Faisal Alhazmi"/>
    <x v="2"/>
    <s v="Account Executive"/>
    <s v="Male"/>
    <d v="2025-06-11T00:00:00"/>
    <n v="8000"/>
    <n v="3"/>
    <s v="Active"/>
    <s v="Makkah"/>
  </r>
  <r>
    <s v="EMP0211"/>
    <s v="Majed Alghamdi"/>
    <x v="2"/>
    <s v="Sales Representative"/>
    <s v="Male"/>
    <d v="2024-12-17T00:00:00"/>
    <n v="5800"/>
    <n v="5"/>
    <s v="Active"/>
    <s v="Dammam"/>
  </r>
  <r>
    <s v="EMP0212"/>
    <s v="Abdullah Alamri"/>
    <x v="0"/>
    <s v="Financial Analyst"/>
    <s v="Male"/>
    <d v="2020-10-09T00:00:00"/>
    <n v="13900"/>
    <n v="5"/>
    <s v="Active"/>
    <s v="Jeddah"/>
  </r>
  <r>
    <s v="EMP0213"/>
    <s v="Rayan Alqahtani"/>
    <x v="4"/>
    <s v="Office Coordinator"/>
    <s v="Male"/>
    <d v="2023-12-21T00:00:00"/>
    <n v="7700"/>
    <n v="3"/>
    <s v="Active"/>
    <s v="Dammam"/>
  </r>
  <r>
    <s v="EMP0214"/>
    <s v="Saleh Alharthi"/>
    <x v="7"/>
    <s v="Marketing Analyst"/>
    <s v="Male"/>
    <d v="2022-01-27T00:00:00"/>
    <n v="9700"/>
    <n v="2"/>
    <s v="On Leave"/>
    <s v="Jeddah"/>
  </r>
  <r>
    <s v="EMP0215"/>
    <s v="Abdullah Alshammari"/>
    <x v="1"/>
    <s v="Customer Support Specialist"/>
    <s v="Male"/>
    <d v="2025-05-14T00:00:00"/>
    <n v="6300"/>
    <n v="3"/>
    <s v="Active"/>
    <s v="Jeddah"/>
  </r>
  <r>
    <s v="EMP0216"/>
    <s v="Ali Alnasser"/>
    <x v="1"/>
    <s v="Quality Analyst"/>
    <s v="Male"/>
    <d v="2017-09-16T00:00:00"/>
    <n v="9800"/>
    <n v="2"/>
    <s v="Active"/>
    <s v="Madinah"/>
  </r>
  <r>
    <s v="EMP0217"/>
    <s v="Omar Alsaadi"/>
    <x v="5"/>
    <s v="Operations Specialist"/>
    <s v="Male"/>
    <d v="2016-11-23T00:00:00"/>
    <n v="9300"/>
    <n v="4"/>
    <s v="Active"/>
    <s v="Jeddah"/>
  </r>
  <r>
    <s v="EMP0218"/>
    <s v="Turki Alsaadi"/>
    <x v="6"/>
    <s v="Systems Administrator"/>
    <s v="Male"/>
    <d v="2021-07-24T00:00:00"/>
    <n v="11400"/>
    <n v="5"/>
    <s v="Active"/>
    <s v="Jeddah"/>
  </r>
  <r>
    <s v="EMP0219"/>
    <s v="Nasser Alzahrani"/>
    <x v="4"/>
    <s v="Executive Secretary"/>
    <s v="Male"/>
    <d v="2018-01-11T00:00:00"/>
    <n v="9500"/>
    <n v="4"/>
    <s v="Active"/>
    <s v="Jeddah"/>
  </r>
  <r>
    <s v="EMP0220"/>
    <s v="Mohammed Alhazmi"/>
    <x v="5"/>
    <s v="Operations Coordinator"/>
    <s v="Male"/>
    <d v="2024-02-09T00:00:00"/>
    <n v="8000"/>
    <n v="3"/>
    <s v="Active"/>
    <s v="Jeddah"/>
  </r>
  <r>
    <s v="EMP0221"/>
    <s v="Majed Alsubaie"/>
    <x v="4"/>
    <s v="Office Coordinator"/>
    <s v="Male"/>
    <d v="2020-08-16T00:00:00"/>
    <n v="6700"/>
    <n v="3"/>
    <s v="Active"/>
    <s v="Riyadh"/>
  </r>
  <r>
    <s v="EMP0222"/>
    <s v="Fahad Alghamdi"/>
    <x v="1"/>
    <s v="Quality Analyst"/>
    <s v="Male"/>
    <d v="2016-01-06T00:00:00"/>
    <n v="9200"/>
    <n v="3"/>
    <s v="On Leave"/>
    <s v="Makkah"/>
  </r>
  <r>
    <s v="EMP0223"/>
    <s v="Sultan Alsaadi"/>
    <x v="6"/>
    <s v="Systems Administrator"/>
    <s v="Male"/>
    <d v="2015-11-26T00:00:00"/>
    <n v="11800"/>
    <n v="2"/>
    <s v="Active"/>
    <s v="Jeddah"/>
  </r>
  <r>
    <s v="EMP0224"/>
    <s v="Nasser Alamri"/>
    <x v="5"/>
    <s v="Operations Analyst"/>
    <s v="Male"/>
    <d v="2016-03-15T00:00:00"/>
    <n v="10900"/>
    <n v="3"/>
    <s v="Active"/>
    <s v="Riyadh"/>
  </r>
  <r>
    <s v="EMP0225"/>
    <s v="Aisha Alamri"/>
    <x v="5"/>
    <s v="Operations Analyst"/>
    <s v="Female"/>
    <d v="2024-04-04T00:00:00"/>
    <n v="12200"/>
    <n v="3"/>
    <s v="Active"/>
    <s v="Riyadh"/>
  </r>
  <r>
    <s v="EMP0226"/>
    <s v="Rana Alansari"/>
    <x v="0"/>
    <s v="Accounting Assistant"/>
    <s v="Female"/>
    <d v="2017-03-11T00:00:00"/>
    <n v="7300"/>
    <n v="4"/>
    <s v="Active"/>
    <s v="Riyadh"/>
  </r>
  <r>
    <s v="EMP0227"/>
    <s v="Khalid Alhazmi"/>
    <x v="4"/>
    <s v="Administrative Assistant"/>
    <s v="Male"/>
    <d v="2015-01-24T00:00:00"/>
    <n v="7000"/>
    <n v="5"/>
    <s v="Active"/>
    <s v="Jeddah"/>
  </r>
  <r>
    <s v="EMP0228"/>
    <s v="Omar Alghamdi"/>
    <x v="0"/>
    <s v="Accounting Assistant"/>
    <s v="Male"/>
    <d v="2021-10-16T00:00:00"/>
    <n v="6700"/>
    <n v="4"/>
    <s v="Resigned"/>
    <s v="Jeddah"/>
  </r>
  <r>
    <s v="EMP0229"/>
    <s v="Omar Alzubaidi"/>
    <x v="3"/>
    <s v="HR Operations Specialist"/>
    <s v="Male"/>
    <d v="2014-02-27T00:00:00"/>
    <n v="9200"/>
    <n v="4"/>
    <s v="On Leave"/>
    <s v="Jeddah"/>
  </r>
  <r>
    <s v="EMP0230"/>
    <s v="Saad Almutairi"/>
    <x v="1"/>
    <s v="Team Leader"/>
    <s v="Male"/>
    <d v="2020-11-21T00:00:00"/>
    <n v="10400"/>
    <n v="2"/>
    <s v="Active"/>
    <s v="Riyadh"/>
  </r>
  <r>
    <s v="EMP0231"/>
    <s v="Ali Alharthi"/>
    <x v="6"/>
    <s v="Systems Administrator"/>
    <s v="Male"/>
    <d v="2021-05-13T00:00:00"/>
    <n v="11000"/>
    <n v="3"/>
    <s v="Active"/>
    <s v="Riyadh"/>
  </r>
  <r>
    <s v="EMP0232"/>
    <s v="Rayan Aljuhani"/>
    <x v="3"/>
    <s v="HR Supervisor"/>
    <s v="Male"/>
    <d v="2025-11-12T00:00:00"/>
    <n v="12200"/>
    <n v="3"/>
    <s v="Active"/>
    <s v="Jeddah"/>
  </r>
  <r>
    <s v="EMP0233"/>
    <s v="Dana Alrashidi"/>
    <x v="5"/>
    <s v="Operations Coordinator"/>
    <s v="Female"/>
    <d v="2014-12-18T00:00:00"/>
    <n v="7800"/>
    <n v="3"/>
    <s v="Active"/>
    <s v="Jeddah"/>
  </r>
  <r>
    <s v="EMP0234"/>
    <s v="Majed Alfarsi"/>
    <x v="2"/>
    <s v="Key Account Manager"/>
    <s v="Male"/>
    <d v="2015-11-22T00:00:00"/>
    <n v="13400"/>
    <n v="1"/>
    <s v="Active"/>
    <s v="Jeddah"/>
  </r>
  <r>
    <s v="EMP0235"/>
    <s v="Fahad Alotaibi"/>
    <x v="1"/>
    <s v="Customer Support Specialist"/>
    <s v="Male"/>
    <d v="2022-11-29T00:00:00"/>
    <n v="6000"/>
    <n v="4"/>
    <s v="Resigned"/>
    <s v="Jeddah"/>
  </r>
  <r>
    <s v="EMP0236"/>
    <s v="Aisha Alghamdi"/>
    <x v="0"/>
    <s v="Finance Manager"/>
    <s v="Female"/>
    <d v="2018-12-01T00:00:00"/>
    <n v="18100"/>
    <n v="4"/>
    <s v="Active"/>
    <s v="Riyadh"/>
  </r>
  <r>
    <s v="EMP0237"/>
    <s v="Nada Alghamdi"/>
    <x v="3"/>
    <s v="HR Operations Specialist"/>
    <s v="Female"/>
    <d v="2016-07-22T00:00:00"/>
    <n v="8700"/>
    <n v="4"/>
    <s v="On Leave"/>
    <s v="Jeddah"/>
  </r>
  <r>
    <s v="EMP0238"/>
    <s v="Sultan Alsharif"/>
    <x v="6"/>
    <s v="Data Analyst"/>
    <s v="Male"/>
    <d v="2022-11-27T00:00:00"/>
    <n v="12300"/>
    <n v="3"/>
    <s v="Active"/>
    <s v="Riyadh"/>
  </r>
  <r>
    <s v="EMP0239"/>
    <s v="Sultan Alnasser"/>
    <x v="3"/>
    <s v="HR Operations Specialist"/>
    <s v="Male"/>
    <d v="2024-10-19T00:00:00"/>
    <n v="10100"/>
    <n v="4"/>
    <s v="Active"/>
    <s v="Dammam"/>
  </r>
  <r>
    <s v="EMP0240"/>
    <s v="Hala Alrashidi"/>
    <x v="2"/>
    <s v="Sales Analyst"/>
    <s v="Female"/>
    <d v="2022-05-26T00:00:00"/>
    <n v="12700"/>
    <n v="4"/>
    <s v="Active"/>
    <s v="Madinah"/>
  </r>
  <r>
    <s v="EMP0241"/>
    <s v="Noura Alghamdi"/>
    <x v="1"/>
    <s v="Quality Analyst"/>
    <s v="Female"/>
    <d v="2015-07-04T00:00:00"/>
    <n v="11000"/>
    <n v="4"/>
    <s v="Resigned"/>
    <s v="Jeddah"/>
  </r>
  <r>
    <s v="EMP0242"/>
    <s v="Ahmed Alamri"/>
    <x v="1"/>
    <s v="Quality Analyst"/>
    <s v="Male"/>
    <d v="2018-01-25T00:00:00"/>
    <n v="9800"/>
    <n v="3"/>
    <s v="Active"/>
    <s v="Riyadh"/>
  </r>
  <r>
    <s v="EMP0243"/>
    <s v="Turki Alansari"/>
    <x v="3"/>
    <s v="HR Specialist"/>
    <s v="Male"/>
    <d v="2021-04-14T00:00:00"/>
    <n v="7500"/>
    <n v="4"/>
    <s v="Active"/>
    <s v="Jeddah"/>
  </r>
  <r>
    <s v="EMP0244"/>
    <s v="Khalid Almalki"/>
    <x v="1"/>
    <s v="Customer Service Agent"/>
    <s v="Male"/>
    <d v="2014-02-17T00:00:00"/>
    <n v="5800"/>
    <n v="5"/>
    <s v="Active"/>
    <s v="Jeddah"/>
  </r>
  <r>
    <s v="EMP0245"/>
    <s v="Omar Alfarsi"/>
    <x v="2"/>
    <s v="Sales Manager"/>
    <s v="Male"/>
    <d v="2020-02-26T00:00:00"/>
    <n v="18500"/>
    <n v="2"/>
    <s v="Active"/>
    <s v="Dammam"/>
  </r>
  <r>
    <s v="EMP0246"/>
    <s v="Turki Alsharif"/>
    <x v="6"/>
    <s v="Software Engineer"/>
    <s v="Male"/>
    <d v="2023-11-13T00:00:00"/>
    <n v="12900"/>
    <n v="2"/>
    <s v="Active"/>
    <s v="Dammam"/>
  </r>
  <r>
    <s v="EMP0247"/>
    <s v="Hanan Alzubaidi"/>
    <x v="5"/>
    <s v="Operations Specialist"/>
    <s v="Female"/>
    <d v="2022-09-05T00:00:00"/>
    <n v="8300"/>
    <n v="4"/>
    <s v="Active"/>
    <s v="Madinah"/>
  </r>
  <r>
    <s v="EMP0248"/>
    <s v="Hamad Almutairi"/>
    <x v="5"/>
    <s v="Operations Specialist"/>
    <s v="Male"/>
    <d v="2024-02-29T00:00:00"/>
    <n v="9300"/>
    <n v="4"/>
    <s v="Resigned"/>
    <s v="Jeddah"/>
  </r>
  <r>
    <s v="EMP0249"/>
    <s v="Ahmed Alsaadi"/>
    <x v="3"/>
    <s v="HR Specialist"/>
    <s v="Male"/>
    <d v="2016-12-12T00:00:00"/>
    <n v="7700"/>
    <n v="4"/>
    <s v="Active"/>
    <s v="Makkah"/>
  </r>
  <r>
    <s v="EMP0250"/>
    <s v="Hanan Alzubaidi"/>
    <x v="1"/>
    <s v="Customer Support Specialist"/>
    <s v="Female"/>
    <d v="2021-09-04T00:00:00"/>
    <n v="6700"/>
    <n v="3"/>
    <s v="Active"/>
    <s v="Jeddah"/>
  </r>
  <r>
    <s v="EMP0251"/>
    <s v="Sara Alsharif"/>
    <x v="2"/>
    <s v="Sales Analyst"/>
    <s v="Female"/>
    <d v="2019-09-01T00:00:00"/>
    <n v="13000"/>
    <n v="3"/>
    <s v="Active"/>
    <s v="Jeddah"/>
  </r>
  <r>
    <s v="EMP0252"/>
    <s v="Dana Alsaadi"/>
    <x v="3"/>
    <s v="HR Operations Specialist"/>
    <s v="Female"/>
    <d v="2024-05-01T00:00:00"/>
    <n v="11300"/>
    <n v="4"/>
    <s v="Active"/>
    <s v="Dammam"/>
  </r>
  <r>
    <s v="EMP0253"/>
    <s v="Hala Alansari"/>
    <x v="4"/>
    <s v="Executive Secretary"/>
    <s v="Female"/>
    <d v="2024-02-05T00:00:00"/>
    <n v="10600"/>
    <n v="5"/>
    <s v="Active"/>
    <s v="Riyadh"/>
  </r>
  <r>
    <s v="EMP0254"/>
    <s v="Turki Alqahtani"/>
    <x v="6"/>
    <s v="Systems Administrator"/>
    <s v="Male"/>
    <d v="2014-10-27T00:00:00"/>
    <n v="12700"/>
    <n v="2"/>
    <s v="Active"/>
    <s v="Makkah"/>
  </r>
  <r>
    <s v="EMP0255"/>
    <s v="Huda Alnasser"/>
    <x v="2"/>
    <s v="Account Executive"/>
    <s v="Female"/>
    <d v="2024-01-01T00:00:00"/>
    <n v="10900"/>
    <n v="1"/>
    <s v="Active"/>
    <s v="Jeddah"/>
  </r>
  <r>
    <s v="EMP0256"/>
    <s v="Huda Alamri"/>
    <x v="6"/>
    <s v="Systems Administrator"/>
    <s v="Female"/>
    <d v="2025-07-19T00:00:00"/>
    <n v="9700"/>
    <n v="3"/>
    <s v="Active"/>
    <s v="Jeddah"/>
  </r>
  <r>
    <s v="EMP0257"/>
    <s v="Majed Alharthi"/>
    <x v="7"/>
    <s v="Marketing Coordinator"/>
    <s v="Male"/>
    <d v="2018-08-14T00:00:00"/>
    <n v="8600"/>
    <n v="1"/>
    <s v="Active"/>
    <s v="Jeddah"/>
  </r>
  <r>
    <s v="EMP0258"/>
    <s v="Nada Aljuhani"/>
    <x v="4"/>
    <s v="Office Coordinator"/>
    <s v="Female"/>
    <d v="2016-08-17T00:00:00"/>
    <n v="8900"/>
    <n v="2"/>
    <s v="Resigned"/>
    <s v="Madinah"/>
  </r>
  <r>
    <s v="EMP0259"/>
    <s v="Hamad Alamri"/>
    <x v="6"/>
    <s v="Systems Administrator"/>
    <s v="Male"/>
    <d v="2018-04-25T00:00:00"/>
    <n v="11800"/>
    <n v="2"/>
    <s v="Active"/>
    <s v="Riyadh"/>
  </r>
  <r>
    <s v="EMP0260"/>
    <s v="Faisal Alansari"/>
    <x v="7"/>
    <s v="Marketing Coordinator"/>
    <s v="Male"/>
    <d v="2017-11-26T00:00:00"/>
    <n v="6300"/>
    <n v="4"/>
    <s v="Active"/>
    <s v="Jeddah"/>
  </r>
  <r>
    <s v="EMP0261"/>
    <s v="Abdullah Alzubaidi"/>
    <x v="6"/>
    <s v="Data Analyst"/>
    <s v="Male"/>
    <d v="2020-07-21T00:00:00"/>
    <n v="14200"/>
    <n v="3"/>
    <s v="Active"/>
    <s v="Jeddah"/>
  </r>
  <r>
    <s v="EMP0262"/>
    <s v="Abdullah Alrashidi"/>
    <x v="0"/>
    <s v="Accountant"/>
    <s v="Male"/>
    <d v="2022-06-16T00:00:00"/>
    <n v="11200"/>
    <n v="3"/>
    <s v="Active"/>
    <s v="Riyadh"/>
  </r>
  <r>
    <s v="EMP0263"/>
    <s v="Abdullah Alzahrani"/>
    <x v="6"/>
    <s v="Data Analyst"/>
    <s v="Male"/>
    <d v="2017-11-14T00:00:00"/>
    <n v="12800"/>
    <n v="2"/>
    <s v="Active"/>
    <s v="Riyadh"/>
  </r>
  <r>
    <s v="EMP0264"/>
    <s v="Aisha Almutairi"/>
    <x v="0"/>
    <s v="Financial Analyst"/>
    <s v="Female"/>
    <d v="2019-12-07T00:00:00"/>
    <n v="9600"/>
    <n v="2"/>
    <s v="Active"/>
    <s v="Jeddah"/>
  </r>
  <r>
    <s v="EMP0265"/>
    <s v="Hassan Alrashidi"/>
    <x v="0"/>
    <s v="Accountant"/>
    <s v="Male"/>
    <d v="2018-01-11T00:00:00"/>
    <n v="9200"/>
    <n v="2"/>
    <s v="Active"/>
    <s v="Jeddah"/>
  </r>
  <r>
    <s v="EMP0266"/>
    <s v="Rayan Alrashidi"/>
    <x v="5"/>
    <s v="Operations Supervisor"/>
    <s v="Male"/>
    <d v="2021-05-05T00:00:00"/>
    <n v="16000"/>
    <n v="4"/>
    <s v="Active"/>
    <s v="Madinah"/>
  </r>
  <r>
    <s v="EMP0267"/>
    <s v="Omar Almutairi"/>
    <x v="2"/>
    <s v="Sales Analyst"/>
    <s v="Male"/>
    <d v="2019-02-15T00:00:00"/>
    <n v="11700"/>
    <n v="2"/>
    <s v="Active"/>
    <s v="Jeddah"/>
  </r>
  <r>
    <s v="EMP0268"/>
    <s v="Faisal Alzubaidi"/>
    <x v="5"/>
    <s v="Operations Manager"/>
    <s v="Male"/>
    <d v="2017-12-01T00:00:00"/>
    <n v="20800"/>
    <n v="3"/>
    <s v="Active"/>
    <s v="Dammam"/>
  </r>
  <r>
    <s v="EMP0269"/>
    <s v="Yousef Alansari"/>
    <x v="3"/>
    <s v="HR Specialist"/>
    <s v="Male"/>
    <d v="2026-07-04T00:00:00"/>
    <n v="11000"/>
    <n v="4"/>
    <s v="Active"/>
    <s v="Riyadh"/>
  </r>
  <r>
    <s v="EMP0270"/>
    <s v="Joud Alzahrani"/>
    <x v="2"/>
    <s v="Sales Analyst"/>
    <s v="Female"/>
    <d v="2023-08-30T00:00:00"/>
    <n v="13400"/>
    <n v="2"/>
    <s v="Resigned"/>
    <s v="Jeddah"/>
  </r>
  <r>
    <s v="EMP0271"/>
    <s v="Bader Alqahtani"/>
    <x v="2"/>
    <s v="Key Account Manager"/>
    <s v="Male"/>
    <d v="2018-09-11T00:00:00"/>
    <n v="17100"/>
    <n v="4"/>
    <s v="Active"/>
    <s v="Riyadh"/>
  </r>
  <r>
    <s v="EMP0272"/>
    <s v="Yousef Almutairi"/>
    <x v="3"/>
    <s v="HR Specialist"/>
    <s v="Male"/>
    <d v="2016-10-02T00:00:00"/>
    <n v="7500"/>
    <n v="4"/>
    <s v="Active"/>
    <s v="Makkah"/>
  </r>
  <r>
    <s v="EMP0273"/>
    <s v="Maryam Alzahrani"/>
    <x v="6"/>
    <s v="Systems Administrator"/>
    <s v="Female"/>
    <d v="2018-11-14T00:00:00"/>
    <n v="13900"/>
    <n v="4"/>
    <s v="Active"/>
    <s v="Jeddah"/>
  </r>
  <r>
    <s v="EMP0274"/>
    <s v="Reem Alhazmi"/>
    <x v="3"/>
    <s v="HR Operations Specialist"/>
    <s v="Female"/>
    <d v="2020-10-10T00:00:00"/>
    <n v="11900"/>
    <n v="2"/>
    <s v="Active"/>
    <s v="Makkah"/>
  </r>
  <r>
    <s v="EMP0275"/>
    <s v="Nasser Alfarsi"/>
    <x v="2"/>
    <s v="Account Executive"/>
    <s v="Male"/>
    <d v="2020-07-24T00:00:00"/>
    <n v="7700"/>
    <n v="4"/>
    <s v="Active"/>
    <s v="Makkah"/>
  </r>
  <r>
    <s v="EMP0276"/>
    <s v="Saad Alamri"/>
    <x v="7"/>
    <s v="Marketing Analyst"/>
    <s v="Male"/>
    <d v="2014-05-16T00:00:00"/>
    <n v="11200"/>
    <n v="2"/>
    <s v="Active"/>
    <s v="Riyadh"/>
  </r>
  <r>
    <s v="EMP0277"/>
    <s v="Hassan Alhazmi"/>
    <x v="6"/>
    <s v="Software Engineer"/>
    <s v="Male"/>
    <d v="2014-07-28T00:00:00"/>
    <n v="17200"/>
    <n v="5"/>
    <s v="Active"/>
    <s v="Jeddah"/>
  </r>
  <r>
    <s v="EMP0278"/>
    <s v="Huda Aljuhani"/>
    <x v="7"/>
    <s v="Digital Marketing Specialist"/>
    <s v="Female"/>
    <d v="2016-10-31T00:00:00"/>
    <n v="12600"/>
    <n v="2"/>
    <s v="Active"/>
    <s v="Makkah"/>
  </r>
  <r>
    <s v="EMP0279"/>
    <s v="Hanan Alsharif"/>
    <x v="5"/>
    <s v="Operations Specialist"/>
    <s v="Female"/>
    <d v="2022-06-02T00:00:00"/>
    <n v="11400"/>
    <n v="1"/>
    <s v="Active"/>
    <s v="Riyadh"/>
  </r>
  <r>
    <s v="EMP0280"/>
    <s v="Ibrahim Almutairi"/>
    <x v="5"/>
    <s v="Operations Coordinator"/>
    <s v="Male"/>
    <d v="2019-06-04T00:00:00"/>
    <n v="5900"/>
    <n v="3"/>
    <s v="Active"/>
    <s v="Dammam"/>
  </r>
  <r>
    <s v="EMP0281"/>
    <s v="Ahmed Alsaadi"/>
    <x v="0"/>
    <s v="Senior Accountant"/>
    <s v="Male"/>
    <d v="2025-06-16T00:00:00"/>
    <n v="16600"/>
    <n v="3"/>
    <s v="Resigned"/>
    <s v="Jeddah"/>
  </r>
  <r>
    <s v="EMP0282"/>
    <s v="Saleh Almutairi"/>
    <x v="1"/>
    <s v="Customer Support Specialist"/>
    <s v="Male"/>
    <d v="2025-12-20T00:00:00"/>
    <n v="7400"/>
    <n v="5"/>
    <s v="Active"/>
    <s v="Makkah"/>
  </r>
  <r>
    <s v="EMP0283"/>
    <s v="Abdullah Alotaibi"/>
    <x v="3"/>
    <s v="HR Assistant"/>
    <s v="Male"/>
    <d v="2024-03-28T00:00:00"/>
    <n v="6800"/>
    <n v="2"/>
    <s v="Active"/>
    <s v="Makkah"/>
  </r>
  <r>
    <s v="EMP0284"/>
    <s v="Lina Alharbi"/>
    <x v="0"/>
    <s v="Senior Accountant"/>
    <s v="Female"/>
    <d v="2025-07-26T00:00:00"/>
    <n v="14600"/>
    <n v="1"/>
    <s v="Active"/>
    <s v="Makkah"/>
  </r>
  <r>
    <s v="EMP0285"/>
    <s v="Sultan Alharbi"/>
    <x v="5"/>
    <s v="Operations Analyst"/>
    <s v="Male"/>
    <d v="2018-04-07T00:00:00"/>
    <n v="13300"/>
    <n v="5"/>
    <s v="Active"/>
    <s v="Riyadh"/>
  </r>
  <r>
    <s v="EMP0286"/>
    <s v="Hala Alsaadi"/>
    <x v="7"/>
    <s v="Marketing Coordinator"/>
    <s v="Female"/>
    <d v="2022-01-08T00:00:00"/>
    <n v="6400"/>
    <n v="4"/>
    <s v="Active"/>
    <s v="Jeddah"/>
  </r>
  <r>
    <s v="EMP0287"/>
    <s v="Fatimah Alamri"/>
    <x v="5"/>
    <s v="Operations Analyst"/>
    <s v="Female"/>
    <d v="2019-08-25T00:00:00"/>
    <n v="13400"/>
    <n v="5"/>
    <s v="Active"/>
    <s v="Jeddah"/>
  </r>
  <r>
    <s v="EMP0288"/>
    <s v="Rayan Alsaadi"/>
    <x v="5"/>
    <s v="Operations Specialist"/>
    <s v="Male"/>
    <d v="2019-08-11T00:00:00"/>
    <n v="9800"/>
    <n v="4"/>
    <s v="Active"/>
    <s v="Dammam"/>
  </r>
  <r>
    <s v="EMP0289"/>
    <s v="Yousef Alharthi"/>
    <x v="7"/>
    <s v="Marketing Analyst"/>
    <s v="Male"/>
    <d v="2022-12-12T00:00:00"/>
    <n v="14500"/>
    <n v="5"/>
    <s v="Active"/>
    <s v="Jeddah"/>
  </r>
  <r>
    <s v="EMP0290"/>
    <s v="Ahmed Alhazmi"/>
    <x v="3"/>
    <s v="HR Supervisor"/>
    <s v="Male"/>
    <d v="2014-02-19T00:00:00"/>
    <n v="11900"/>
    <n v="5"/>
    <s v="Active"/>
    <s v="Makkah"/>
  </r>
  <r>
    <s v="EMP0291"/>
    <s v="Turki Alsubaie"/>
    <x v="3"/>
    <s v="HR Assistant"/>
    <s v="Male"/>
    <d v="2020-10-28T00:00:00"/>
    <n v="7100"/>
    <n v="3"/>
    <s v="Resigned"/>
    <s v="Makkah"/>
  </r>
  <r>
    <s v="EMP0292"/>
    <s v="Shahad Alfarsi"/>
    <x v="2"/>
    <s v="Sales Analyst"/>
    <s v="Female"/>
    <d v="2019-12-12T00:00:00"/>
    <n v="9600"/>
    <n v="3"/>
    <s v="Resigned"/>
    <s v="Dammam"/>
  </r>
  <r>
    <s v="EMP0293"/>
    <s v="Omar Alrashidi"/>
    <x v="2"/>
    <s v="Sales Analyst"/>
    <s v="Male"/>
    <d v="2022-01-04T00:00:00"/>
    <n v="9700"/>
    <n v="4"/>
    <s v="Active"/>
    <s v="Jeddah"/>
  </r>
  <r>
    <s v="EMP0294"/>
    <s v="Hala Alnasser"/>
    <x v="4"/>
    <s v="Administrative Supervisor"/>
    <s v="Female"/>
    <d v="2019-06-02T00:00:00"/>
    <n v="14100"/>
    <n v="5"/>
    <s v="Resigned"/>
    <s v="Makkah"/>
  </r>
  <r>
    <s v="EMP0295"/>
    <s v="Ibrahim Alrashidi"/>
    <x v="6"/>
    <s v="IT Support"/>
    <s v="Male"/>
    <d v="2017-07-11T00:00:00"/>
    <n v="7000"/>
    <n v="5"/>
    <s v="Active"/>
    <s v="Jeddah"/>
  </r>
  <r>
    <s v="EMP0296"/>
    <s v="Abeer Alzubaidi"/>
    <x v="5"/>
    <s v="Operations Specialist"/>
    <s v="Female"/>
    <d v="2020-02-26T00:00:00"/>
    <n v="10400"/>
    <n v="4"/>
    <s v="Active"/>
    <s v="Riyadh"/>
  </r>
  <r>
    <s v="EMP0297"/>
    <s v="Lina Alzahrani"/>
    <x v="5"/>
    <s v="Operations Specialist"/>
    <s v="Female"/>
    <d v="2020-02-08T00:00:00"/>
    <n v="9300"/>
    <n v="3"/>
    <s v="Active"/>
    <s v="Riyadh"/>
  </r>
  <r>
    <s v="EMP0298"/>
    <s v="Yousef Alhazmi"/>
    <x v="5"/>
    <s v="Operations Specialist"/>
    <s v="Male"/>
    <d v="2022-07-13T00:00:00"/>
    <n v="7800"/>
    <n v="3"/>
    <s v="Active"/>
    <s v="Jeddah"/>
  </r>
  <r>
    <s v="EMP0299"/>
    <s v="Ali Alrashidi"/>
    <x v="7"/>
    <s v="Marketing Analyst"/>
    <s v="Male"/>
    <d v="2023-04-05T00:00:00"/>
    <n v="9700"/>
    <n v="4"/>
    <s v="Active"/>
    <s v="Makkah"/>
  </r>
  <r>
    <s v="EMP0300"/>
    <s v="Aisha Alzubaidi"/>
    <x v="1"/>
    <s v="Customer Service Agent"/>
    <s v="Female"/>
    <d v="2026-04-01T00:00:00"/>
    <n v="4600"/>
    <n v="4"/>
    <s v="Active"/>
    <s v="Jeddah"/>
  </r>
  <r>
    <s v="EMP0301"/>
    <s v="Noura Alqahtani"/>
    <x v="0"/>
    <s v="Accounting Assistant"/>
    <s v="Female"/>
    <d v="2023-09-11T00:00:00"/>
    <n v="6100"/>
    <n v="5"/>
    <s v="Active"/>
    <s v="Riyadh"/>
  </r>
  <r>
    <s v="EMP0302"/>
    <s v="Hamad Alfarsi"/>
    <x v="0"/>
    <s v="Accountant"/>
    <s v="Male"/>
    <d v="2020-12-15T00:00:00"/>
    <n v="8000"/>
    <n v="4"/>
    <s v="Active"/>
    <s v="Makkah"/>
  </r>
  <r>
    <s v="EMP0303"/>
    <s v="Abdullah Alfarsi"/>
    <x v="1"/>
    <s v="Team Leader"/>
    <s v="Male"/>
    <d v="2018-07-27T00:00:00"/>
    <n v="9300"/>
    <n v="4"/>
    <s v="Active"/>
    <s v="Jeddah"/>
  </r>
  <r>
    <s v="EMP0304"/>
    <s v="Omar Almalki"/>
    <x v="4"/>
    <s v="Office Coordinator"/>
    <s v="Male"/>
    <d v="2025-06-19T00:00:00"/>
    <n v="7900"/>
    <n v="4"/>
    <s v="Resigned"/>
    <s v="Riyadh"/>
  </r>
  <r>
    <s v="EMP0305"/>
    <s v="Abdullah Alghamdi"/>
    <x v="0"/>
    <s v="Senior Accountant"/>
    <s v="Male"/>
    <d v="2023-12-20T00:00:00"/>
    <n v="17000"/>
    <n v="3"/>
    <s v="Active"/>
    <s v="Jeddah"/>
  </r>
  <r>
    <s v="EMP0306"/>
    <s v="Sultan Alfarsi"/>
    <x v="6"/>
    <s v="Data Analyst"/>
    <s v="Male"/>
    <d v="2016-11-27T00:00:00"/>
    <n v="10300"/>
    <n v="4"/>
    <s v="Active"/>
    <s v="Jeddah"/>
  </r>
  <r>
    <s v="EMP0307"/>
    <s v="Ahmed Alsharif"/>
    <x v="5"/>
    <s v="Operations Specialist"/>
    <s v="Male"/>
    <d v="2023-09-18T00:00:00"/>
    <n v="9500"/>
    <n v="4"/>
    <s v="Active"/>
    <s v="Dammam"/>
  </r>
  <r>
    <s v="EMP0308"/>
    <s v="Sara Alotaibi"/>
    <x v="3"/>
    <s v="HR Manager"/>
    <s v="Female"/>
    <d v="2017-02-25T00:00:00"/>
    <n v="17600"/>
    <n v="4"/>
    <s v="Active"/>
    <s v="Jeddah"/>
  </r>
  <r>
    <s v="EMP0309"/>
    <s v="Shahad Alshammari"/>
    <x v="5"/>
    <s v="Operations Supervisor"/>
    <s v="Female"/>
    <d v="2015-09-21T00:00:00"/>
    <n v="14400"/>
    <n v="4"/>
    <s v="Active"/>
    <s v="Jeddah"/>
  </r>
  <r>
    <s v="EMP0310"/>
    <s v="Aisha Alamri"/>
    <x v="5"/>
    <s v="Operations Manager"/>
    <s v="Female"/>
    <d v="2020-04-14T00:00:00"/>
    <n v="22000"/>
    <n v="2"/>
    <s v="On Leave"/>
    <s v="Jeddah"/>
  </r>
  <r>
    <s v="EMP0311"/>
    <s v="Saleh Alharbi"/>
    <x v="5"/>
    <s v="Operations Supervisor"/>
    <s v="Male"/>
    <d v="2026-07-31T00:00:00"/>
    <n v="13000"/>
    <n v="3"/>
    <s v="Active"/>
    <s v="Riyadh"/>
  </r>
  <r>
    <s v="EMP0312"/>
    <s v="Saleh Almutairi"/>
    <x v="3"/>
    <s v="HR Operations Specialist"/>
    <s v="Male"/>
    <d v="2026-06-14T00:00:00"/>
    <n v="11900"/>
    <n v="3"/>
    <s v="Active"/>
    <s v="Madinah"/>
  </r>
  <r>
    <s v="EMP0313"/>
    <s v="Omar Alqahtani"/>
    <x v="4"/>
    <s v="Office Coordinator"/>
    <s v="Male"/>
    <d v="2021-12-23T00:00:00"/>
    <n v="8100"/>
    <n v="4"/>
    <s v="Active"/>
    <s v="Jeddah"/>
  </r>
  <r>
    <s v="EMP0314"/>
    <s v="Rana Alzahrani"/>
    <x v="1"/>
    <s v="Customer Support Specialist"/>
    <s v="Female"/>
    <d v="2018-05-04T00:00:00"/>
    <n v="6100"/>
    <n v="4"/>
    <s v="Active"/>
    <s v="Jeddah"/>
  </r>
  <r>
    <s v="EMP0315"/>
    <s v="Ahmed Alsubaie"/>
    <x v="2"/>
    <s v="Sales Analyst"/>
    <s v="Male"/>
    <d v="2019-03-23T00:00:00"/>
    <n v="9700"/>
    <n v="4"/>
    <s v="Active"/>
    <s v="Jeddah"/>
  </r>
  <r>
    <s v="EMP0316"/>
    <s v="Ahmed Alamri"/>
    <x v="5"/>
    <s v="Operations Coordinator"/>
    <s v="Male"/>
    <d v="2019-03-31T00:00:00"/>
    <n v="6400"/>
    <n v="4"/>
    <s v="Active"/>
    <s v="Madinah"/>
  </r>
  <r>
    <s v="EMP0317"/>
    <s v="Bader Alfarsi"/>
    <x v="5"/>
    <s v="Operations Supervisor"/>
    <s v="Male"/>
    <d v="2021-11-03T00:00:00"/>
    <n v="12300"/>
    <n v="3"/>
    <s v="Resigned"/>
    <s v="Jeddah"/>
  </r>
  <r>
    <s v="EMP0318"/>
    <s v="Ahmed Alharthi"/>
    <x v="3"/>
    <s v="HR Operations Specialist"/>
    <s v="Male"/>
    <d v="2022-08-15T00:00:00"/>
    <n v="9900"/>
    <n v="5"/>
    <s v="Active"/>
    <s v="Dammam"/>
  </r>
  <r>
    <s v="EMP0319"/>
    <s v="Faisal Alharbi"/>
    <x v="2"/>
    <s v="Sales Analyst"/>
    <s v="Male"/>
    <d v="2022-10-10T00:00:00"/>
    <n v="10500"/>
    <n v="4"/>
    <s v="Active"/>
    <s v="Riyadh"/>
  </r>
  <r>
    <s v="EMP0320"/>
    <s v="Hassan Alharbi"/>
    <x v="3"/>
    <s v="HR Specialist"/>
    <s v="Male"/>
    <d v="2024-01-01T00:00:00"/>
    <n v="7800"/>
    <n v="3"/>
    <s v="Active"/>
    <s v="Jeddah"/>
  </r>
  <r>
    <s v="EMP0321"/>
    <s v="Omar Alotaibi"/>
    <x v="2"/>
    <s v="Account Executive"/>
    <s v="Male"/>
    <d v="2017-01-24T00:00:00"/>
    <n v="9800"/>
    <n v="5"/>
    <s v="Active"/>
    <s v="Madinah"/>
  </r>
  <r>
    <s v="EMP0322"/>
    <s v="Fatimah Alqahtani"/>
    <x v="2"/>
    <s v="Sales Representative"/>
    <s v="Female"/>
    <d v="2019-05-01T00:00:00"/>
    <n v="6700"/>
    <n v="3"/>
    <s v="Active"/>
    <s v="Jeddah"/>
  </r>
  <r>
    <s v="EMP0323"/>
    <s v="Faisal Alfarsi"/>
    <x v="2"/>
    <s v="Account Executive"/>
    <s v="Male"/>
    <d v="2020-11-19T00:00:00"/>
    <n v="9700"/>
    <n v="2"/>
    <s v="Active"/>
    <s v="Riyadh"/>
  </r>
  <r>
    <s v="EMP0324"/>
    <s v="Saleh Alansari"/>
    <x v="2"/>
    <s v="Sales Analyst"/>
    <s v="Male"/>
    <d v="2018-06-15T00:00:00"/>
    <n v="12600"/>
    <n v="3"/>
    <s v="Active"/>
    <s v="Jeddah"/>
  </r>
  <r>
    <s v="EMP0325"/>
    <s v="Lina Alfarsi"/>
    <x v="1"/>
    <s v="Quality Analyst"/>
    <s v="Female"/>
    <d v="2018-07-09T00:00:00"/>
    <n v="10600"/>
    <n v="5"/>
    <s v="Active"/>
    <s v="Madinah"/>
  </r>
  <r>
    <s v="EMP0326"/>
    <s v="Lama Alhazmi"/>
    <x v="6"/>
    <s v="Data Analyst"/>
    <s v="Female"/>
    <d v="2021-10-24T00:00:00"/>
    <n v="11800"/>
    <n v="5"/>
    <s v="Active"/>
    <s v="Dammam"/>
  </r>
  <r>
    <s v="EMP0327"/>
    <s v="Lina Almalki"/>
    <x v="0"/>
    <s v="Financial Analyst"/>
    <s v="Female"/>
    <d v="2022-08-27T00:00:00"/>
    <n v="10800"/>
    <n v="4"/>
    <s v="Active"/>
    <s v="Makkah"/>
  </r>
  <r>
    <s v="EMP0328"/>
    <s v="Noura Alsaadi"/>
    <x v="6"/>
    <s v="Data Analyst"/>
    <s v="Female"/>
    <d v="2025-01-22T00:00:00"/>
    <n v="12900"/>
    <n v="3"/>
    <s v="Active"/>
    <s v="Riyadh"/>
  </r>
  <r>
    <s v="EMP0329"/>
    <s v="Nasser Alshammari"/>
    <x v="0"/>
    <s v="Accountant"/>
    <s v="Male"/>
    <d v="2024-08-10T00:00:00"/>
    <n v="8600"/>
    <n v="4"/>
    <s v="Active"/>
    <s v="Jeddah"/>
  </r>
  <r>
    <s v="EMP0330"/>
    <s v="Saleh Alqahtani"/>
    <x v="7"/>
    <s v="Digital Marketing Specialist"/>
    <s v="Male"/>
    <d v="2025-12-29T00:00:00"/>
    <n v="12100"/>
    <n v="3"/>
    <s v="Active"/>
    <s v="Riyadh"/>
  </r>
  <r>
    <s v="EMP0331"/>
    <s v="Fatimah Alsaadi"/>
    <x v="5"/>
    <s v="Operations Specialist"/>
    <s v="Female"/>
    <d v="2019-01-05T00:00:00"/>
    <n v="9200"/>
    <n v="2"/>
    <s v="Resigned"/>
    <s v="Jeddah"/>
  </r>
  <r>
    <s v="EMP0332"/>
    <s v="Huda Alamri"/>
    <x v="3"/>
    <s v="HR Specialist"/>
    <s v="Female"/>
    <d v="2024-12-24T00:00:00"/>
    <n v="10400"/>
    <n v="3"/>
    <s v="Active"/>
    <s v="Madinah"/>
  </r>
  <r>
    <s v="EMP0333"/>
    <s v="Fatimah Alzahrani"/>
    <x v="0"/>
    <s v="Accounting Assistant"/>
    <s v="Female"/>
    <d v="2014-03-06T00:00:00"/>
    <n v="7800"/>
    <n v="2"/>
    <s v="Active"/>
    <s v="Jeddah"/>
  </r>
  <r>
    <s v="EMP0334"/>
    <s v="Khalid Alghamdi"/>
    <x v="2"/>
    <s v="Account Executive"/>
    <s v="Male"/>
    <d v="2019-06-13T00:00:00"/>
    <n v="10700"/>
    <n v="4"/>
    <s v="Active"/>
    <s v="Jeddah"/>
  </r>
  <r>
    <s v="EMP0335"/>
    <s v="Sara Alotaibi"/>
    <x v="4"/>
    <s v="Office Coordinator"/>
    <s v="Female"/>
    <d v="2026-07-11T00:00:00"/>
    <n v="9400"/>
    <n v="1"/>
    <s v="Resigned"/>
    <s v="Makkah"/>
  </r>
  <r>
    <s v="EMP0336"/>
    <s v="Fatimah Alharbi"/>
    <x v="1"/>
    <s v="Customer Service Agent"/>
    <s v="Female"/>
    <d v="2018-11-24T00:00:00"/>
    <n v="6100"/>
    <n v="3"/>
    <s v="Active"/>
    <s v="Dammam"/>
  </r>
  <r>
    <s v="EMP0337"/>
    <s v="Hamad Alamri"/>
    <x v="2"/>
    <s v="Account Executive"/>
    <s v="Male"/>
    <d v="2016-10-07T00:00:00"/>
    <n v="7900"/>
    <n v="3"/>
    <s v="Active"/>
    <s v="Jeddah"/>
  </r>
  <r>
    <s v="EMP0338"/>
    <s v="Rayan Alamri"/>
    <x v="5"/>
    <s v="Operations Coordinator"/>
    <s v="Male"/>
    <d v="2018-11-20T00:00:00"/>
    <n v="8900"/>
    <n v="3"/>
    <s v="Active"/>
    <s v="Jeddah"/>
  </r>
  <r>
    <s v="EMP0339"/>
    <s v="Huda Almalki"/>
    <x v="1"/>
    <s v="Customer Service Agent"/>
    <s v="Female"/>
    <d v="2017-07-16T00:00:00"/>
    <n v="5300"/>
    <n v="3"/>
    <s v="Active"/>
    <s v="Riyadh"/>
  </r>
  <r>
    <s v="EMP0340"/>
    <s v="Hassan Alnasser"/>
    <x v="5"/>
    <s v="Operations Supervisor"/>
    <s v="Male"/>
    <d v="2022-10-29T00:00:00"/>
    <n v="14200"/>
    <n v="4"/>
    <s v="Active"/>
    <s v="Riyadh"/>
  </r>
  <r>
    <s v="EMP0341"/>
    <s v="Hassan Alshammari"/>
    <x v="7"/>
    <s v="Marketing Coordinator"/>
    <s v="Male"/>
    <d v="2016-03-24T00:00:00"/>
    <n v="7700"/>
    <n v="5"/>
    <s v="Active"/>
    <s v="Dammam"/>
  </r>
  <r>
    <s v="EMP0342"/>
    <s v="Ali Alhazmi"/>
    <x v="5"/>
    <s v="Operations Analyst"/>
    <s v="Male"/>
    <d v="2025-11-22T00:00:00"/>
    <n v="10400"/>
    <n v="4"/>
    <s v="Active"/>
    <s v="Jeddah"/>
  </r>
  <r>
    <s v="EMP0343"/>
    <s v="Saleh Alamri"/>
    <x v="7"/>
    <s v="Digital Marketing Specialist"/>
    <s v="Male"/>
    <d v="2017-11-18T00:00:00"/>
    <n v="10900"/>
    <n v="3"/>
    <s v="Active"/>
    <s v="Riyadh"/>
  </r>
  <r>
    <s v="EMP0344"/>
    <s v="Hala Alharbi"/>
    <x v="5"/>
    <s v="Operations Specialist"/>
    <s v="Female"/>
    <d v="2019-06-24T00:00:00"/>
    <n v="11300"/>
    <n v="3"/>
    <s v="Active"/>
    <s v="Riyadh"/>
  </r>
  <r>
    <s v="EMP0345"/>
    <s v="Khalid Alharbi"/>
    <x v="2"/>
    <s v="Key Account Manager"/>
    <s v="Male"/>
    <d v="2014-11-10T00:00:00"/>
    <n v="17200"/>
    <n v="3"/>
    <s v="Resigned"/>
    <s v="Jeddah"/>
  </r>
  <r>
    <s v="EMP0346"/>
    <s v="Bader Alamri"/>
    <x v="7"/>
    <s v="Digital Marketing Specialist"/>
    <s v="Male"/>
    <d v="2019-06-07T00:00:00"/>
    <n v="12600"/>
    <n v="2"/>
    <s v="Active"/>
    <s v="Riyadh"/>
  </r>
  <r>
    <s v="EMP0347"/>
    <s v="Ahmed Almalki"/>
    <x v="7"/>
    <s v="Marketing Analyst"/>
    <s v="Male"/>
    <d v="2021-04-08T00:00:00"/>
    <n v="12700"/>
    <n v="2"/>
    <s v="Active"/>
    <s v="Dammam"/>
  </r>
  <r>
    <s v="EMP0348"/>
    <s v="Khalid Alotaibi"/>
    <x v="0"/>
    <s v="Accountant"/>
    <s v="Male"/>
    <d v="2020-03-22T00:00:00"/>
    <n v="8600"/>
    <n v="3"/>
    <s v="Active"/>
    <s v="Riyadh"/>
  </r>
  <r>
    <s v="EMP0349"/>
    <s v="Majed Alnasser"/>
    <x v="3"/>
    <s v="HR Specialist"/>
    <s v="Male"/>
    <d v="2024-01-13T00:00:00"/>
    <n v="10800"/>
    <n v="4"/>
    <s v="Active"/>
    <s v="Riyadh"/>
  </r>
  <r>
    <s v="EMP0350"/>
    <s v="Saleh Alsaadi"/>
    <x v="1"/>
    <s v="Customer Support Specialist"/>
    <s v="Male"/>
    <d v="2015-06-12T00:00:00"/>
    <n v="8000"/>
    <n v="4"/>
    <s v="On Leave"/>
    <s v="Makkah"/>
  </r>
  <r>
    <s v="EMP0351"/>
    <s v="Fatimah Alnasser"/>
    <x v="2"/>
    <s v="Account Executive"/>
    <s v="Female"/>
    <d v="2017-09-18T00:00:00"/>
    <n v="9400"/>
    <n v="4"/>
    <s v="Active"/>
    <s v="Makkah"/>
  </r>
  <r>
    <s v="EMP0352"/>
    <s v="Fatimah Alfarsi"/>
    <x v="6"/>
    <s v="Data Analyst"/>
    <s v="Female"/>
    <d v="2015-10-11T00:00:00"/>
    <n v="12000"/>
    <n v="5"/>
    <s v="Active"/>
    <s v="Jeddah"/>
  </r>
  <r>
    <s v="EMP0353"/>
    <s v="Hassan Alrashidi"/>
    <x v="1"/>
    <s v="Customer Service Manager"/>
    <s v="Male"/>
    <d v="2015-12-08T00:00:00"/>
    <n v="19300"/>
    <n v="3"/>
    <s v="Active"/>
    <s v="Jeddah"/>
  </r>
  <r>
    <s v="EMP0354"/>
    <s v="Ali Alqahtani"/>
    <x v="5"/>
    <s v="Operations Specialist"/>
    <s v="Male"/>
    <d v="2015-01-04T00:00:00"/>
    <n v="10000"/>
    <n v="3"/>
    <s v="Resigned"/>
    <s v="Jeddah"/>
  </r>
  <r>
    <s v="EMP0355"/>
    <s v="Huda Alzubaidi"/>
    <x v="7"/>
    <s v="Digital Marketing Specialist"/>
    <s v="Female"/>
    <d v="2019-10-01T00:00:00"/>
    <n v="11400"/>
    <n v="5"/>
    <s v="On Leave"/>
    <s v="Dammam"/>
  </r>
  <r>
    <s v="EMP0356"/>
    <s v="Rayan Almalki"/>
    <x v="6"/>
    <s v="IT Support"/>
    <s v="Male"/>
    <d v="2022-07-18T00:00:00"/>
    <n v="8600"/>
    <n v="5"/>
    <s v="Active"/>
    <s v="Jeddah"/>
  </r>
  <r>
    <s v="EMP0357"/>
    <s v="Ibrahim Alzahrani"/>
    <x v="3"/>
    <s v="HR Specialist"/>
    <s v="Male"/>
    <d v="2016-08-15T00:00:00"/>
    <n v="7600"/>
    <n v="4"/>
    <s v="Active"/>
    <s v="Jeddah"/>
  </r>
  <r>
    <s v="EMP0358"/>
    <s v="Lama Alqahtani"/>
    <x v="0"/>
    <s v="Financial Analyst"/>
    <s v="Female"/>
    <d v="2024-09-03T00:00:00"/>
    <n v="11300"/>
    <n v="5"/>
    <s v="On Leave"/>
    <s v="Riyadh"/>
  </r>
  <r>
    <s v="EMP0359"/>
    <s v="Khalid Alzahrani"/>
    <x v="0"/>
    <s v="Senior Accountant"/>
    <s v="Male"/>
    <d v="2020-07-31T00:00:00"/>
    <n v="16200"/>
    <n v="3"/>
    <s v="Active"/>
    <s v="Dammam"/>
  </r>
  <r>
    <s v="EMP0360"/>
    <s v="Shahad Alamri"/>
    <x v="2"/>
    <s v="Sales Representative"/>
    <s v="Female"/>
    <d v="2024-05-08T00:00:00"/>
    <n v="7600"/>
    <n v="3"/>
    <s v="Active"/>
    <s v="Jeddah"/>
  </r>
  <r>
    <s v="EMP0361"/>
    <s v="Bader Alrashidi"/>
    <x v="5"/>
    <s v="Operations Supervisor"/>
    <s v="Male"/>
    <d v="2021-06-24T00:00:00"/>
    <n v="12600"/>
    <n v="3"/>
    <s v="Active"/>
    <s v="Jeddah"/>
  </r>
  <r>
    <s v="EMP0362"/>
    <s v="Ali Alotaibi"/>
    <x v="1"/>
    <s v="Team Leader"/>
    <s v="Male"/>
    <d v="2017-08-31T00:00:00"/>
    <n v="13200"/>
    <n v="3"/>
    <s v="Active"/>
    <s v="Riyadh"/>
  </r>
  <r>
    <s v="EMP0363"/>
    <s v="Turki Alansari"/>
    <x v="0"/>
    <s v="Accountant"/>
    <s v="Male"/>
    <d v="2014-05-01T00:00:00"/>
    <n v="7700"/>
    <n v="3"/>
    <s v="Active"/>
    <s v="Dammam"/>
  </r>
  <r>
    <s v="EMP0364"/>
    <s v="Saad Alsubaie"/>
    <x v="1"/>
    <s v="Customer Support Specialist"/>
    <s v="Male"/>
    <d v="2019-06-16T00:00:00"/>
    <n v="7800"/>
    <n v="4"/>
    <s v="Active"/>
    <s v="Jeddah"/>
  </r>
  <r>
    <s v="EMP0365"/>
    <s v="Mohammed Alharthi"/>
    <x v="4"/>
    <s v="Office Coordinator"/>
    <s v="Male"/>
    <d v="2025-06-04T00:00:00"/>
    <n v="7300"/>
    <n v="3"/>
    <s v="Active"/>
    <s v="Dammam"/>
  </r>
  <r>
    <s v="EMP0366"/>
    <s v="Hanan Alotaibi"/>
    <x v="2"/>
    <s v="Account Executive"/>
    <s v="Female"/>
    <d v="2021-07-15T00:00:00"/>
    <n v="11000"/>
    <n v="5"/>
    <s v="Active"/>
    <s v="Jeddah"/>
  </r>
  <r>
    <s v="EMP0367"/>
    <s v="Nasser Alfarsi"/>
    <x v="1"/>
    <s v="Quality Analyst"/>
    <s v="Male"/>
    <d v="2014-03-15T00:00:00"/>
    <n v="8200"/>
    <n v="5"/>
    <s v="Active"/>
    <s v="Riyadh"/>
  </r>
  <r>
    <s v="EMP0368"/>
    <s v="Rayan Alnasser"/>
    <x v="6"/>
    <s v="Data Analyst"/>
    <s v="Male"/>
    <d v="2014-08-31T00:00:00"/>
    <n v="15500"/>
    <n v="5"/>
    <s v="Active"/>
    <s v="Riyadh"/>
  </r>
  <r>
    <s v="EMP0369"/>
    <s v="Fahad Almalki"/>
    <x v="0"/>
    <s v="Accounting Assistant"/>
    <s v="Male"/>
    <d v="2015-07-10T00:00:00"/>
    <n v="6400"/>
    <n v="3"/>
    <s v="Active"/>
    <s v="Jeddah"/>
  </r>
  <r>
    <s v="EMP0370"/>
    <s v="Rayan Alsharif"/>
    <x v="0"/>
    <s v="Accountant"/>
    <s v="Male"/>
    <d v="2018-06-02T00:00:00"/>
    <n v="11400"/>
    <n v="5"/>
    <s v="Resigned"/>
    <s v="Jeddah"/>
  </r>
  <r>
    <s v="EMP0371"/>
    <s v="Hassan Almalki"/>
    <x v="6"/>
    <s v="Data Analyst"/>
    <s v="Male"/>
    <d v="2014-08-09T00:00:00"/>
    <n v="12400"/>
    <n v="4"/>
    <s v="Resigned"/>
    <s v="Riyadh"/>
  </r>
  <r>
    <s v="EMP0372"/>
    <s v="Lina Aljuhani"/>
    <x v="0"/>
    <s v="Financial Analyst"/>
    <s v="Female"/>
    <d v="2026-01-26T00:00:00"/>
    <n v="11100"/>
    <n v="3"/>
    <s v="Active"/>
    <s v="Jeddah"/>
  </r>
  <r>
    <s v="EMP0373"/>
    <s v="Ahmed Almutairi"/>
    <x v="6"/>
    <s v="Systems Administrator"/>
    <s v="Male"/>
    <d v="2014-06-12T00:00:00"/>
    <n v="10300"/>
    <n v="3"/>
    <s v="Active"/>
    <s v="Dammam"/>
  </r>
  <r>
    <s v="EMP0374"/>
    <s v="Ali Alansari"/>
    <x v="4"/>
    <s v="Office Coordinator"/>
    <s v="Male"/>
    <d v="2025-05-17T00:00:00"/>
    <n v="9300"/>
    <n v="3"/>
    <s v="Active"/>
    <s v="Makkah"/>
  </r>
  <r>
    <s v="EMP0375"/>
    <s v="Nada Alansari"/>
    <x v="5"/>
    <s v="Operations Analyst"/>
    <s v="Female"/>
    <d v="2018-11-10T00:00:00"/>
    <n v="10800"/>
    <n v="3"/>
    <s v="Resigned"/>
    <s v="Jeddah"/>
  </r>
  <r>
    <s v="EMP0376"/>
    <s v="Ibrahim Alansari"/>
    <x v="3"/>
    <s v="HR Operations Specialist"/>
    <s v="Male"/>
    <d v="2015-10-07T00:00:00"/>
    <n v="11300"/>
    <n v="4"/>
    <s v="Active"/>
    <s v="Jeddah"/>
  </r>
  <r>
    <s v="EMP0377"/>
    <s v="Raghad Alrashidi"/>
    <x v="3"/>
    <s v="HR Operations Specialist"/>
    <s v="Female"/>
    <d v="2022-07-28T00:00:00"/>
    <n v="10600"/>
    <n v="5"/>
    <s v="Active"/>
    <s v="Jeddah"/>
  </r>
  <r>
    <s v="EMP0378"/>
    <s v="Turki Alotaibi"/>
    <x v="5"/>
    <s v="Operations Analyst"/>
    <s v="Male"/>
    <d v="2015-05-07T00:00:00"/>
    <n v="13000"/>
    <n v="2"/>
    <s v="Active"/>
    <s v="Jeddah"/>
  </r>
  <r>
    <s v="EMP0379"/>
    <s v="Mohammed Alsaadi"/>
    <x v="6"/>
    <s v="Systems Administrator"/>
    <s v="Male"/>
    <d v="2014-01-18T00:00:00"/>
    <n v="13400"/>
    <n v="1"/>
    <s v="Active"/>
    <s v="Dammam"/>
  </r>
  <r>
    <s v="EMP0380"/>
    <s v="Hassan Alqahtani"/>
    <x v="5"/>
    <s v="Operations Coordinator"/>
    <s v="Male"/>
    <d v="2026-03-01T00:00:00"/>
    <n v="8100"/>
    <n v="4"/>
    <s v="Active"/>
    <s v="Makkah"/>
  </r>
  <r>
    <s v="EMP0381"/>
    <s v="Sultan Alsubaie"/>
    <x v="7"/>
    <s v="Marketing Analyst"/>
    <s v="Male"/>
    <d v="2023-06-15T00:00:00"/>
    <n v="12900"/>
    <n v="4"/>
    <s v="Active"/>
    <s v="Makkah"/>
  </r>
  <r>
    <s v="EMP0382"/>
    <s v="Bader Alharbi"/>
    <x v="4"/>
    <s v="Executive Secretary"/>
    <s v="Male"/>
    <d v="2016-01-14T00:00:00"/>
    <n v="8900"/>
    <n v="5"/>
    <s v="Resigned"/>
    <s v="Jeddah"/>
  </r>
  <r>
    <s v="EMP0383"/>
    <s v="Hamad Alqahtani"/>
    <x v="7"/>
    <s v="Content Specialist"/>
    <s v="Male"/>
    <d v="2019-11-13T00:00:00"/>
    <n v="9500"/>
    <n v="4"/>
    <s v="Active"/>
    <s v="Riyadh"/>
  </r>
  <r>
    <s v="EMP0384"/>
    <s v="Shahad Alhazmi"/>
    <x v="0"/>
    <s v="Accounting Assistant"/>
    <s v="Female"/>
    <d v="2018-05-20T00:00:00"/>
    <n v="7200"/>
    <n v="4"/>
    <s v="Active"/>
    <s v="Jeddah"/>
  </r>
  <r>
    <s v="EMP0385"/>
    <s v="Lama Alsharif"/>
    <x v="3"/>
    <s v="HR Specialist"/>
    <s v="Female"/>
    <d v="2014-07-29T00:00:00"/>
    <n v="8900"/>
    <n v="5"/>
    <s v="Active"/>
    <s v="Riyadh"/>
  </r>
  <r>
    <s v="EMP0386"/>
    <s v="Sultan Alharbi"/>
    <x v="5"/>
    <s v="Operations Coordinator"/>
    <s v="Male"/>
    <d v="2026-05-06T00:00:00"/>
    <n v="7500"/>
    <n v="3"/>
    <s v="Active"/>
    <s v="Jeddah"/>
  </r>
  <r>
    <s v="EMP0387"/>
    <s v="Lina Alghamdi"/>
    <x v="7"/>
    <s v="Marketing Coordinator"/>
    <s v="Female"/>
    <d v="2015-02-09T00:00:00"/>
    <n v="6300"/>
    <n v="3"/>
    <s v="Active"/>
    <s v="Madinah"/>
  </r>
  <r>
    <s v="EMP0388"/>
    <s v="Ibrahim Alsharif"/>
    <x v="6"/>
    <s v="IT Support"/>
    <s v="Male"/>
    <d v="2014-01-03T00:00:00"/>
    <n v="7700"/>
    <n v="1"/>
    <s v="Active"/>
    <s v="Jeddah"/>
  </r>
  <r>
    <s v="EMP0389"/>
    <s v="Majed Alzahrani"/>
    <x v="1"/>
    <s v="Team Leader"/>
    <s v="Male"/>
    <d v="2021-01-10T00:00:00"/>
    <n v="11500"/>
    <n v="4"/>
    <s v="Active"/>
    <s v="Jeddah"/>
  </r>
  <r>
    <s v="EMP0390"/>
    <s v="Joud Alansari"/>
    <x v="3"/>
    <s v="HR Operations Specialist"/>
    <s v="Female"/>
    <d v="2021-09-15T00:00:00"/>
    <n v="12500"/>
    <n v="3"/>
    <s v="Active"/>
    <s v="Jeddah"/>
  </r>
  <r>
    <s v="EMP0391"/>
    <s v="Ahmed Alotaibi"/>
    <x v="4"/>
    <s v="Administration Manager"/>
    <s v="Male"/>
    <d v="2020-09-15T00:00:00"/>
    <n v="19000"/>
    <n v="3"/>
    <s v="Active"/>
    <s v="Jeddah"/>
  </r>
  <r>
    <s v="EMP0392"/>
    <s v="Rayan Alrashidi"/>
    <x v="5"/>
    <s v="Operations Analyst"/>
    <s v="Male"/>
    <d v="2017-01-31T00:00:00"/>
    <n v="9500"/>
    <n v="2"/>
    <s v="Active"/>
    <s v="Riyadh"/>
  </r>
  <r>
    <s v="EMP0393"/>
    <s v="Lama Alansari"/>
    <x v="6"/>
    <s v="Data Analyst"/>
    <s v="Female"/>
    <d v="2023-01-08T00:00:00"/>
    <n v="14300"/>
    <n v="4"/>
    <s v="Active"/>
    <s v="Riyadh"/>
  </r>
  <r>
    <s v="EMP0394"/>
    <s v="Hala Alzahrani"/>
    <x v="5"/>
    <s v="Operations Coordinator"/>
    <s v="Female"/>
    <d v="2017-06-26T00:00:00"/>
    <n v="8400"/>
    <n v="3"/>
    <s v="Active"/>
    <s v="Jeddah"/>
  </r>
  <r>
    <s v="EMP0395"/>
    <s v="Mohammed Alzubaidi"/>
    <x v="3"/>
    <s v="HR Operations Specialist"/>
    <s v="Male"/>
    <d v="2022-03-17T00:00:00"/>
    <n v="11600"/>
    <n v="4"/>
    <s v="Active"/>
    <s v="Jeddah"/>
  </r>
  <r>
    <s v="EMP0396"/>
    <s v="Nasser Alsaadi"/>
    <x v="3"/>
    <s v="HR Supervisor"/>
    <s v="Male"/>
    <d v="2015-07-09T00:00:00"/>
    <n v="14800"/>
    <n v="2"/>
    <s v="Active"/>
    <s v="Jeddah"/>
  </r>
  <r>
    <s v="EMP0397"/>
    <s v="Khalid Alsharif"/>
    <x v="1"/>
    <s v="Quality Analyst"/>
    <s v="Male"/>
    <d v="2014-08-24T00:00:00"/>
    <n v="9100"/>
    <n v="3"/>
    <s v="Active"/>
    <s v="Riyadh"/>
  </r>
  <r>
    <s v="EMP0398"/>
    <s v="Saleh Alzubaidi"/>
    <x v="5"/>
    <s v="Operations Coordinator"/>
    <s v="Male"/>
    <d v="2026-03-02T00:00:00"/>
    <n v="6000"/>
    <n v="3"/>
    <s v="Active"/>
    <s v="Riyadh"/>
  </r>
  <r>
    <s v="EMP0399"/>
    <s v="Saad Alsharif"/>
    <x v="6"/>
    <s v="Systems Administrator"/>
    <s v="Male"/>
    <d v="2025-07-02T00:00:00"/>
    <n v="12100"/>
    <n v="2"/>
    <s v="Active"/>
    <s v="Jeddah"/>
  </r>
  <r>
    <s v="EMP0400"/>
    <s v="Turki Alfarsi"/>
    <x v="0"/>
    <s v="Accounting Assistant"/>
    <s v="Male"/>
    <d v="2025-10-20T00:00:00"/>
    <n v="7600"/>
    <n v="4"/>
    <s v="Active"/>
    <s v="Jeddah"/>
  </r>
  <r>
    <s v="EMP0401"/>
    <s v="Yousef Alotaibi"/>
    <x v="2"/>
    <s v="Account Executive"/>
    <s v="Male"/>
    <d v="2021-09-18T00:00:00"/>
    <n v="11500"/>
    <n v="3"/>
    <s v="Active"/>
    <s v="Riyadh"/>
  </r>
  <r>
    <s v="EMP0402"/>
    <s v="Nada Alghamdi"/>
    <x v="2"/>
    <s v="Key Account Manager"/>
    <s v="Female"/>
    <d v="2021-02-27T00:00:00"/>
    <n v="13500"/>
    <n v="5"/>
    <s v="Active"/>
    <s v="Dammam"/>
  </r>
  <r>
    <s v="EMP0403"/>
    <s v="Rana Alzubaidi"/>
    <x v="6"/>
    <s v="IT Manager"/>
    <s v="Female"/>
    <d v="2015-12-10T00:00:00"/>
    <n v="19600"/>
    <n v="4"/>
    <s v="Active"/>
    <s v="Makkah"/>
  </r>
  <r>
    <s v="EMP0404"/>
    <s v="Noura Alghamdi"/>
    <x v="4"/>
    <s v="Administrative Supervisor"/>
    <s v="Female"/>
    <d v="2014-06-12T00:00:00"/>
    <n v="13800"/>
    <n v="3"/>
    <s v="Resigned"/>
    <s v="Jeddah"/>
  </r>
  <r>
    <s v="EMP0405"/>
    <s v="Sara Alfarsi"/>
    <x v="5"/>
    <s v="Operations Analyst"/>
    <s v="Female"/>
    <d v="2023-09-06T00:00:00"/>
    <n v="13600"/>
    <n v="4"/>
    <s v="Active"/>
    <s v="Jeddah"/>
  </r>
  <r>
    <s v="EMP0406"/>
    <s v="Khalid Almutairi"/>
    <x v="7"/>
    <s v="Marketing Coordinator"/>
    <s v="Male"/>
    <d v="2022-10-31T00:00:00"/>
    <n v="8100"/>
    <n v="3"/>
    <s v="Active"/>
    <s v="Riyadh"/>
  </r>
  <r>
    <s v="EMP0407"/>
    <s v="Sara Alghamdi"/>
    <x v="4"/>
    <s v="Office Coordinator"/>
    <s v="Female"/>
    <d v="2016-09-27T00:00:00"/>
    <n v="9000"/>
    <n v="2"/>
    <s v="Active"/>
    <s v="Jeddah"/>
  </r>
  <r>
    <s v="EMP0408"/>
    <s v="Saleh Alsharif"/>
    <x v="7"/>
    <s v="Content Specialist"/>
    <s v="Male"/>
    <d v="2026-06-19T00:00:00"/>
    <n v="10800"/>
    <n v="4"/>
    <s v="Active"/>
    <s v="Riyadh"/>
  </r>
  <r>
    <s v="EMP0409"/>
    <s v="Hamad Alansari"/>
    <x v="6"/>
    <s v="Data Analyst"/>
    <s v="Male"/>
    <d v="2016-03-10T00:00:00"/>
    <n v="9600"/>
    <n v="3"/>
    <s v="Active"/>
    <s v="Makkah"/>
  </r>
  <r>
    <s v="EMP0410"/>
    <s v="Nada Alzahrani"/>
    <x v="5"/>
    <s v="Operations Analyst"/>
    <s v="Female"/>
    <d v="2023-01-03T00:00:00"/>
    <n v="9100"/>
    <n v="3"/>
    <s v="Active"/>
    <s v="Riyadh"/>
  </r>
  <r>
    <s v="EMP0411"/>
    <s v="Mohammed Alotaibi"/>
    <x v="3"/>
    <s v="HR Specialist"/>
    <s v="Male"/>
    <d v="2020-10-24T00:00:00"/>
    <n v="10400"/>
    <n v="3"/>
    <s v="Active"/>
    <s v="Makkah"/>
  </r>
  <r>
    <s v="EMP0412"/>
    <s v="Rayan Alshammari"/>
    <x v="4"/>
    <s v="Administrative Supervisor"/>
    <s v="Male"/>
    <d v="2017-03-10T00:00:00"/>
    <n v="12200"/>
    <n v="2"/>
    <s v="Resigned"/>
    <s v="Riyadh"/>
  </r>
  <r>
    <s v="EMP0413"/>
    <s v="Maha Alghamdi"/>
    <x v="5"/>
    <s v="Operations Specialist"/>
    <s v="Female"/>
    <d v="2018-11-15T00:00:00"/>
    <n v="10300"/>
    <n v="4"/>
    <s v="Active"/>
    <s v="Riyadh"/>
  </r>
  <r>
    <s v="EMP0414"/>
    <s v="Majed Alghamdi"/>
    <x v="2"/>
    <s v="Sales Representative"/>
    <s v="Male"/>
    <d v="2019-07-28T00:00:00"/>
    <n v="5900"/>
    <n v="2"/>
    <s v="Active"/>
    <s v="Riyadh"/>
  </r>
  <r>
    <s v="EMP0415"/>
    <s v="Amal Alshammari"/>
    <x v="5"/>
    <s v="Operations Specialist"/>
    <s v="Female"/>
    <d v="2026-02-08T00:00:00"/>
    <n v="9200"/>
    <n v="3"/>
    <s v="Resigned"/>
    <s v="Jeddah"/>
  </r>
  <r>
    <s v="EMP0416"/>
    <s v="Nasser Alharbi"/>
    <x v="5"/>
    <s v="Operations Coordinator"/>
    <s v="Male"/>
    <d v="2016-05-31T00:00:00"/>
    <n v="8500"/>
    <n v="2"/>
    <s v="Resigned"/>
    <s v="Jeddah"/>
  </r>
  <r>
    <s v="EMP0417"/>
    <s v="Joud Almalki"/>
    <x v="1"/>
    <s v="Quality Analyst"/>
    <s v="Female"/>
    <d v="2014-01-11T00:00:00"/>
    <n v="8500"/>
    <n v="2"/>
    <s v="On Leave"/>
    <s v="Dammam"/>
  </r>
  <r>
    <s v="EMP0418"/>
    <s v="Fahad Alamri"/>
    <x v="3"/>
    <s v="HR Specialist"/>
    <s v="Male"/>
    <d v="2025-04-21T00:00:00"/>
    <n v="9000"/>
    <n v="4"/>
    <s v="Active"/>
    <s v="Riyadh"/>
  </r>
  <r>
    <s v="EMP0419"/>
    <s v="Sara Alsubaie"/>
    <x v="7"/>
    <s v="Content Specialist"/>
    <s v="Female"/>
    <d v="2021-07-17T00:00:00"/>
    <n v="11500"/>
    <n v="4"/>
    <s v="Active"/>
    <s v="Riyadh"/>
  </r>
  <r>
    <s v="EMP0420"/>
    <s v="Rayan Alharthi"/>
    <x v="5"/>
    <s v="Operations Analyst"/>
    <s v="Male"/>
    <d v="2024-11-02T00:00:00"/>
    <n v="13700"/>
    <n v="4"/>
    <s v="Active"/>
    <s v="Jeddah"/>
  </r>
  <r>
    <s v="EMP0421"/>
    <s v="Yousef Almalki"/>
    <x v="3"/>
    <s v="HR Assistant"/>
    <s v="Male"/>
    <d v="2014-01-12T00:00:00"/>
    <n v="7800"/>
    <n v="3"/>
    <s v="Active"/>
    <s v="Riyadh"/>
  </r>
  <r>
    <s v="EMP0422"/>
    <s v="Ali Alsubaie"/>
    <x v="0"/>
    <s v="Accountant"/>
    <s v="Male"/>
    <d v="2019-04-24T00:00:00"/>
    <n v="7900"/>
    <n v="3"/>
    <s v="Active"/>
    <s v="Dammam"/>
  </r>
  <r>
    <s v="EMP0423"/>
    <s v="Omar Alzahrani"/>
    <x v="5"/>
    <s v="Operations Specialist"/>
    <s v="Male"/>
    <d v="2016-04-30T00:00:00"/>
    <n v="7600"/>
    <n v="3"/>
    <s v="Active"/>
    <s v="Jeddah"/>
  </r>
  <r>
    <s v="EMP0424"/>
    <s v="Hala Alshammari"/>
    <x v="1"/>
    <s v="Customer Service Agent"/>
    <s v="Female"/>
    <d v="2025-11-29T00:00:00"/>
    <n v="5700"/>
    <n v="4"/>
    <s v="Active"/>
    <s v="Dammam"/>
  </r>
  <r>
    <s v="EMP0425"/>
    <s v="Majed Alqahtani"/>
    <x v="1"/>
    <s v="Quality Analyst"/>
    <s v="Male"/>
    <d v="2020-05-08T00:00:00"/>
    <n v="11000"/>
    <n v="1"/>
    <s v="Active"/>
    <s v="Riyadh"/>
  </r>
  <r>
    <s v="EMP0426"/>
    <s v="Saleh Alshammari"/>
    <x v="4"/>
    <s v="Executive Secretary"/>
    <s v="Male"/>
    <d v="2021-04-13T00:00:00"/>
    <n v="11400"/>
    <n v="4"/>
    <s v="Resigned"/>
    <s v="Riyadh"/>
  </r>
  <r>
    <s v="EMP0427"/>
    <s v="Hamad Alrashidi"/>
    <x v="7"/>
    <s v="Content Specialist"/>
    <s v="Male"/>
    <d v="2023-11-24T00:00:00"/>
    <n v="11200"/>
    <n v="3"/>
    <s v="Active"/>
    <s v="Jeddah"/>
  </r>
  <r>
    <s v="EMP0428"/>
    <s v="Khalid Alansari"/>
    <x v="4"/>
    <s v="Administration Manager"/>
    <s v="Male"/>
    <d v="2017-08-31T00:00:00"/>
    <n v="19000"/>
    <n v="4"/>
    <s v="Active"/>
    <s v="Jeddah"/>
  </r>
  <r>
    <s v="EMP0429"/>
    <s v="Saleh Alamri"/>
    <x v="5"/>
    <s v="Operations Supervisor"/>
    <s v="Male"/>
    <d v="2022-07-18T00:00:00"/>
    <n v="16300"/>
    <n v="4"/>
    <s v="Active"/>
    <s v="Jeddah"/>
  </r>
  <r>
    <s v="EMP0430"/>
    <s v="Sara Alfarsi"/>
    <x v="5"/>
    <s v="Operations Coordinator"/>
    <s v="Female"/>
    <d v="2025-10-15T00:00:00"/>
    <n v="7500"/>
    <n v="5"/>
    <s v="Active"/>
    <s v="Jeddah"/>
  </r>
  <r>
    <s v="EMP0431"/>
    <s v="Khalid Alqahtani"/>
    <x v="6"/>
    <s v="IT Support"/>
    <s v="Male"/>
    <d v="2015-06-04T00:00:00"/>
    <n v="8900"/>
    <n v="4"/>
    <s v="Resigned"/>
    <s v="Jeddah"/>
  </r>
  <r>
    <s v="EMP0432"/>
    <s v="Maryam Alshammari"/>
    <x v="2"/>
    <s v="Sales Analyst"/>
    <s v="Female"/>
    <d v="2021-01-04T00:00:00"/>
    <n v="11200"/>
    <n v="3"/>
    <s v="Active"/>
    <s v="Jeddah"/>
  </r>
  <r>
    <s v="EMP0433"/>
    <s v="Fahad Alharbi"/>
    <x v="7"/>
    <s v="Marketing Coordinator"/>
    <s v="Male"/>
    <d v="2018-12-07T00:00:00"/>
    <n v="8400"/>
    <n v="4"/>
    <s v="Active"/>
    <s v="Riyadh"/>
  </r>
  <r>
    <s v="EMP0434"/>
    <s v="Maryam Almutairi"/>
    <x v="5"/>
    <s v="Operations Specialist"/>
    <s v="Female"/>
    <d v="2014-01-13T00:00:00"/>
    <n v="9500"/>
    <n v="4"/>
    <s v="Resigned"/>
    <s v="Jeddah"/>
  </r>
  <r>
    <s v="EMP0435"/>
    <s v="Ibrahim Alnasser"/>
    <x v="5"/>
    <s v="Operations Coordinator"/>
    <s v="Male"/>
    <d v="2019-07-31T00:00:00"/>
    <n v="6600"/>
    <n v="3"/>
    <s v="Active"/>
    <s v="Jeddah"/>
  </r>
  <r>
    <s v="EMP0436"/>
    <s v="Omar Alansari"/>
    <x v="0"/>
    <s v="Senior Accountant"/>
    <s v="Male"/>
    <d v="2018-12-31T00:00:00"/>
    <n v="17500"/>
    <n v="4"/>
    <s v="Active"/>
    <s v="Riyadh"/>
  </r>
  <r>
    <s v="EMP0437"/>
    <s v="Ibrahim Aljuhani"/>
    <x v="2"/>
    <s v="Account Executive"/>
    <s v="Male"/>
    <d v="2023-11-01T00:00:00"/>
    <n v="10300"/>
    <n v="3"/>
    <s v="Active"/>
    <s v="Dammam"/>
  </r>
  <r>
    <s v="EMP0438"/>
    <s v="Noura Alotaibi"/>
    <x v="3"/>
    <s v="HR Specialist"/>
    <s v="Female"/>
    <d v="2018-04-03T00:00:00"/>
    <n v="9800"/>
    <n v="3"/>
    <s v="Active"/>
    <s v="Jeddah"/>
  </r>
  <r>
    <s v="EMP0439"/>
    <s v="Bader Alotaibi"/>
    <x v="1"/>
    <s v="Customer Support Specialist"/>
    <s v="Male"/>
    <d v="2017-11-06T00:00:00"/>
    <n v="6100"/>
    <n v="3"/>
    <s v="Active"/>
    <s v="Makkah"/>
  </r>
  <r>
    <s v="EMP0440"/>
    <s v="Hassan Alfarsi"/>
    <x v="5"/>
    <s v="Operations Specialist"/>
    <s v="Male"/>
    <d v="2020-02-13T00:00:00"/>
    <n v="9700"/>
    <n v="2"/>
    <s v="Active"/>
    <s v="Jeddah"/>
  </r>
  <r>
    <s v="EMP0441"/>
    <s v="Sultan Alsharif"/>
    <x v="5"/>
    <s v="Operations Supervisor"/>
    <s v="Male"/>
    <d v="2020-05-03T00:00:00"/>
    <n v="13900"/>
    <n v="2"/>
    <s v="Active"/>
    <s v="Jeddah"/>
  </r>
  <r>
    <s v="EMP0442"/>
    <s v="Yousef Almutairi"/>
    <x v="0"/>
    <s v="Senior Accountant"/>
    <s v="Male"/>
    <d v="2014-06-30T00:00:00"/>
    <n v="13600"/>
    <n v="4"/>
    <s v="Active"/>
    <s v="Makkah"/>
  </r>
  <r>
    <s v="EMP0443"/>
    <s v="Lama Alhazmi"/>
    <x v="6"/>
    <s v="Software Engineer"/>
    <s v="Female"/>
    <d v="2025-04-04T00:00:00"/>
    <n v="16500"/>
    <n v="4"/>
    <s v="Active"/>
    <s v="Jeddah"/>
  </r>
  <r>
    <s v="EMP0444"/>
    <s v="Saad Alsharif"/>
    <x v="5"/>
    <s v="Operations Coordinator"/>
    <s v="Male"/>
    <d v="2020-05-11T00:00:00"/>
    <n v="5700"/>
    <n v="3"/>
    <s v="Active"/>
    <s v="Riyadh"/>
  </r>
  <r>
    <s v="EMP0445"/>
    <s v="Yousef Alsaadi"/>
    <x v="4"/>
    <s v="Administrative Assistant"/>
    <s v="Male"/>
    <d v="2014-02-20T00:00:00"/>
    <n v="6500"/>
    <n v="3"/>
    <s v="Active"/>
    <s v="Jeddah"/>
  </r>
  <r>
    <s v="EMP0446"/>
    <s v="Faisal Alzahrani"/>
    <x v="5"/>
    <s v="Operations Coordinator"/>
    <s v="Male"/>
    <d v="2015-09-08T00:00:00"/>
    <n v="8600"/>
    <n v="4"/>
    <s v="Active"/>
    <s v="Jeddah"/>
  </r>
  <r>
    <s v="EMP0447"/>
    <s v="Hassan Alghamdi"/>
    <x v="1"/>
    <s v="Team Leader"/>
    <s v="Male"/>
    <d v="2019-04-11T00:00:00"/>
    <n v="12300"/>
    <n v="2"/>
    <s v="Active"/>
    <s v="Riyadh"/>
  </r>
  <r>
    <s v="EMP0448"/>
    <s v="Abdullah Alfarsi"/>
    <x v="6"/>
    <s v="Systems Administrator"/>
    <s v="Male"/>
    <d v="2026-07-08T00:00:00"/>
    <n v="9700"/>
    <n v="3"/>
    <s v="Active"/>
    <s v="Jeddah"/>
  </r>
  <r>
    <s v="EMP0449"/>
    <s v="Sara Alsaadi"/>
    <x v="2"/>
    <s v="Account Executive"/>
    <s v="Female"/>
    <d v="2026-07-07T00:00:00"/>
    <n v="9500"/>
    <n v="3"/>
    <s v="Active"/>
    <s v="Dammam"/>
  </r>
  <r>
    <s v="EMP0450"/>
    <s v="Mohammed Alqahtani"/>
    <x v="2"/>
    <s v="Sales Analyst"/>
    <s v="Male"/>
    <d v="2017-07-25T00:00:00"/>
    <n v="9800"/>
    <n v="3"/>
    <s v="Active"/>
    <s v="Madinah"/>
  </r>
  <r>
    <s v="EMP0451"/>
    <s v="Mohammed Alfarsi"/>
    <x v="1"/>
    <s v="Customer Service Agent"/>
    <s v="Male"/>
    <d v="2015-06-01T00:00:00"/>
    <n v="5100"/>
    <n v="3"/>
    <s v="Active"/>
    <s v="Jeddah"/>
  </r>
  <r>
    <s v="EMP0452"/>
    <s v="Nasser Alsubaie"/>
    <x v="6"/>
    <s v="Systems Administrator"/>
    <s v="Male"/>
    <d v="2017-03-08T00:00:00"/>
    <n v="14500"/>
    <n v="4"/>
    <s v="Active"/>
    <s v="Makkah"/>
  </r>
  <r>
    <s v="EMP0453"/>
    <s v="Abdullah Alqahtani"/>
    <x v="1"/>
    <s v="Quality Analyst"/>
    <s v="Male"/>
    <d v="2014-08-06T00:00:00"/>
    <n v="7500"/>
    <n v="3"/>
    <s v="On Leave"/>
    <s v="Riyadh"/>
  </r>
  <r>
    <s v="EMP0454"/>
    <s v="Hanan Alsharif"/>
    <x v="5"/>
    <s v="Operations Supervisor"/>
    <s v="Female"/>
    <d v="2017-12-04T00:00:00"/>
    <n v="16400"/>
    <n v="4"/>
    <s v="Active"/>
    <s v="Jeddah"/>
  </r>
  <r>
    <s v="EMP0455"/>
    <s v="Abeer Alansari"/>
    <x v="7"/>
    <s v="Marketing Manager"/>
    <s v="Female"/>
    <d v="2014-05-26T00:00:00"/>
    <n v="22700"/>
    <n v="4"/>
    <s v="Active"/>
    <s v="Riyadh"/>
  </r>
  <r>
    <s v="EMP0456"/>
    <s v="Majed Aljuhani"/>
    <x v="0"/>
    <s v="Accountant"/>
    <s v="Male"/>
    <d v="2020-06-25T00:00:00"/>
    <n v="8300"/>
    <n v="3"/>
    <s v="Active"/>
    <s v="Jeddah"/>
  </r>
  <r>
    <s v="EMP0457"/>
    <s v="Nasser Almutairi"/>
    <x v="5"/>
    <s v="Operations Analyst"/>
    <s v="Male"/>
    <d v="2022-01-16T00:00:00"/>
    <n v="14000"/>
    <n v="3"/>
    <s v="Active"/>
    <s v="Jeddah"/>
  </r>
  <r>
    <s v="EMP0458"/>
    <s v="Sultan Almalki"/>
    <x v="5"/>
    <s v="Operations Analyst"/>
    <s v="Male"/>
    <d v="2019-03-13T00:00:00"/>
    <n v="9700"/>
    <n v="4"/>
    <s v="Active"/>
    <s v="Makkah"/>
  </r>
  <r>
    <s v="EMP0459"/>
    <s v="Noura Alamri"/>
    <x v="0"/>
    <s v="Financial Analyst"/>
    <s v="Female"/>
    <d v="2019-11-28T00:00:00"/>
    <n v="10100"/>
    <n v="1"/>
    <s v="Active"/>
    <s v="Jeddah"/>
  </r>
  <r>
    <s v="EMP0460"/>
    <s v="Raghad Alfarsi"/>
    <x v="5"/>
    <s v="Operations Analyst"/>
    <s v="Female"/>
    <d v="2020-04-05T00:00:00"/>
    <n v="10800"/>
    <n v="4"/>
    <s v="Active"/>
    <s v="Dammam"/>
  </r>
  <r>
    <s v="EMP0461"/>
    <s v="Omar Alghamdi"/>
    <x v="5"/>
    <s v="Operations Manager"/>
    <s v="Male"/>
    <d v="2014-12-24T00:00:00"/>
    <n v="16900"/>
    <n v="5"/>
    <s v="Active"/>
    <s v="Jeddah"/>
  </r>
  <r>
    <s v="EMP0462"/>
    <s v="Omar Alghamdi"/>
    <x v="5"/>
    <s v="Operations Specialist"/>
    <s v="Male"/>
    <d v="2021-09-13T00:00:00"/>
    <n v="10800"/>
    <n v="4"/>
    <s v="Active"/>
    <s v="Jeddah"/>
  </r>
  <r>
    <s v="EMP0463"/>
    <s v="Mohammed Alhazmi"/>
    <x v="1"/>
    <s v="Customer Service Agent"/>
    <s v="Male"/>
    <d v="2015-03-27T00:00:00"/>
    <n v="6900"/>
    <n v="3"/>
    <s v="Active"/>
    <s v="Jeddah"/>
  </r>
  <r>
    <s v="EMP0464"/>
    <s v="Shahad Alghamdi"/>
    <x v="3"/>
    <s v="HR Specialist"/>
    <s v="Female"/>
    <d v="2018-04-07T00:00:00"/>
    <n v="7600"/>
    <n v="3"/>
    <s v="Active"/>
    <s v="Riyadh"/>
  </r>
  <r>
    <s v="EMP0465"/>
    <s v="Hamad Almutairi"/>
    <x v="1"/>
    <s v="Customer Service Agent"/>
    <s v="Male"/>
    <d v="2020-03-14T00:00:00"/>
    <n v="6100"/>
    <n v="3"/>
    <s v="Active"/>
    <s v="Dammam"/>
  </r>
  <r>
    <s v="EMP0466"/>
    <s v="Khalid Alsaadi"/>
    <x v="7"/>
    <s v="Content Specialist"/>
    <s v="Male"/>
    <d v="2018-07-15T00:00:00"/>
    <n v="11400"/>
    <n v="4"/>
    <s v="Active"/>
    <s v="Riyadh"/>
  </r>
  <r>
    <s v="EMP0467"/>
    <s v="Saad Alharbi"/>
    <x v="4"/>
    <s v="Office Coordinator"/>
    <s v="Male"/>
    <d v="2022-11-26T00:00:00"/>
    <n v="7000"/>
    <n v="5"/>
    <s v="Active"/>
    <s v="Makkah"/>
  </r>
  <r>
    <s v="EMP0468"/>
    <s v="Omar Alrashidi"/>
    <x v="5"/>
    <s v="Operations Manager"/>
    <s v="Male"/>
    <d v="2018-10-20T00:00:00"/>
    <n v="21500"/>
    <n v="4"/>
    <s v="Active"/>
    <s v="Jeddah"/>
  </r>
  <r>
    <s v="EMP0469"/>
    <s v="Noura Alghamdi"/>
    <x v="5"/>
    <s v="Operations Coordinator"/>
    <s v="Female"/>
    <d v="2023-09-19T00:00:00"/>
    <n v="6500"/>
    <n v="4"/>
    <s v="Active"/>
    <s v="Jeddah"/>
  </r>
  <r>
    <s v="EMP0470"/>
    <s v="Hamad Alqahtani"/>
    <x v="5"/>
    <s v="Operations Specialist"/>
    <s v="Male"/>
    <d v="2019-01-20T00:00:00"/>
    <n v="8900"/>
    <n v="3"/>
    <s v="Active"/>
    <s v="Dammam"/>
  </r>
  <r>
    <s v="EMP0471"/>
    <s v="Turki Alotaibi"/>
    <x v="5"/>
    <s v="Operations Specialist"/>
    <s v="Male"/>
    <d v="2022-02-05T00:00:00"/>
    <n v="10000"/>
    <n v="3"/>
    <s v="Active"/>
    <s v="Dammam"/>
  </r>
  <r>
    <s v="EMP0472"/>
    <s v="Noura Aljuhani"/>
    <x v="6"/>
    <s v="Systems Administrator"/>
    <s v="Female"/>
    <d v="2021-01-02T00:00:00"/>
    <n v="12000"/>
    <n v="2"/>
    <s v="Active"/>
    <s v="Jeddah"/>
  </r>
  <r>
    <s v="EMP0473"/>
    <s v="Fahad Alamri"/>
    <x v="6"/>
    <s v="Data Analyst"/>
    <s v="Male"/>
    <d v="2026-03-25T00:00:00"/>
    <n v="14700"/>
    <n v="5"/>
    <s v="Active"/>
    <s v="Dammam"/>
  </r>
  <r>
    <s v="EMP0474"/>
    <s v="Sultan Alfarsi"/>
    <x v="6"/>
    <s v="Software Engineer"/>
    <s v="Male"/>
    <d v="2020-01-02T00:00:00"/>
    <n v="14500"/>
    <n v="3"/>
    <s v="Active"/>
    <s v="Jeddah"/>
  </r>
  <r>
    <s v="EMP0475"/>
    <s v="Fahad Alharthi"/>
    <x v="6"/>
    <s v="Systems Administrator"/>
    <s v="Male"/>
    <d v="2023-11-22T00:00:00"/>
    <n v="13000"/>
    <n v="3"/>
    <s v="Active"/>
    <s v="Makkah"/>
  </r>
  <r>
    <s v="EMP0476"/>
    <s v="Saleh Alshammari"/>
    <x v="4"/>
    <s v="Administrative Assistant"/>
    <s v="Male"/>
    <d v="2016-07-23T00:00:00"/>
    <n v="7000"/>
    <n v="3"/>
    <s v="Active"/>
    <s v="Jeddah"/>
  </r>
  <r>
    <s v="EMP0477"/>
    <s v="Sara Alrashidi"/>
    <x v="1"/>
    <s v="Quality Analyst"/>
    <s v="Female"/>
    <d v="2015-06-22T00:00:00"/>
    <n v="9500"/>
    <n v="3"/>
    <s v="Active"/>
    <s v="Madinah"/>
  </r>
  <r>
    <s v="EMP0478"/>
    <s v="Rayan Alotaibi"/>
    <x v="2"/>
    <s v="Key Account Manager"/>
    <s v="Male"/>
    <d v="2019-01-06T00:00:00"/>
    <n v="13900"/>
    <n v="3"/>
    <s v="Resigned"/>
    <s v="Makkah"/>
  </r>
  <r>
    <s v="EMP0479"/>
    <s v="Hala Alsharif"/>
    <x v="4"/>
    <s v="Office Coordinator"/>
    <s v="Female"/>
    <d v="2017-05-22T00:00:00"/>
    <n v="6800"/>
    <n v="3"/>
    <s v="Active"/>
    <s v="Jeddah"/>
  </r>
  <r>
    <s v="EMP0480"/>
    <s v="Hassan Almalki"/>
    <x v="4"/>
    <s v="Office Coordinator"/>
    <s v="Male"/>
    <d v="2014-06-26T00:00:00"/>
    <n v="6900"/>
    <n v="3"/>
    <s v="Active"/>
    <s v="Makkah"/>
  </r>
  <r>
    <s v="EMP0481"/>
    <s v="Mohammed Aljuhani"/>
    <x v="3"/>
    <s v="HR Specialist"/>
    <s v="Male"/>
    <d v="2019-06-17T00:00:00"/>
    <n v="10600"/>
    <n v="4"/>
    <s v="Active"/>
    <s v="Riyadh"/>
  </r>
  <r>
    <s v="EMP0482"/>
    <s v="Hanan Alfarsi"/>
    <x v="0"/>
    <s v="Accountant"/>
    <s v="Female"/>
    <d v="2015-03-10T00:00:00"/>
    <n v="10800"/>
    <n v="3"/>
    <s v="Active"/>
    <s v="Dammam"/>
  </r>
  <r>
    <s v="EMP0483"/>
    <s v="Abdullah Almutairi"/>
    <x v="4"/>
    <s v="Office Coordinator"/>
    <s v="Male"/>
    <d v="2018-04-09T00:00:00"/>
    <n v="7300"/>
    <n v="3"/>
    <s v="Resigned"/>
    <s v="Riyadh"/>
  </r>
  <r>
    <s v="EMP0484"/>
    <s v="Majed Alsaadi"/>
    <x v="1"/>
    <s v="Customer Service Agent"/>
    <s v="Male"/>
    <d v="2024-07-02T00:00:00"/>
    <n v="6900"/>
    <n v="3"/>
    <s v="Resigned"/>
    <s v="Makkah"/>
  </r>
  <r>
    <s v="EMP0485"/>
    <s v="Sultan Alsubaie"/>
    <x v="1"/>
    <s v="Quality Analyst"/>
    <s v="Male"/>
    <d v="2015-02-14T00:00:00"/>
    <n v="10500"/>
    <n v="4"/>
    <s v="Active"/>
    <s v="Jeddah"/>
  </r>
  <r>
    <s v="EMP0486"/>
    <s v="Huda Alotaibi"/>
    <x v="1"/>
    <s v="Customer Support Specialist"/>
    <s v="Female"/>
    <d v="2021-01-20T00:00:00"/>
    <n v="7300"/>
    <n v="3"/>
    <s v="Active"/>
    <s v="Riyadh"/>
  </r>
  <r>
    <s v="EMP0487"/>
    <s v="Turki Alshammari"/>
    <x v="4"/>
    <s v="Office Coordinator"/>
    <s v="Male"/>
    <d v="2017-02-19T00:00:00"/>
    <n v="8000"/>
    <n v="4"/>
    <s v="Active"/>
    <s v="Jeddah"/>
  </r>
  <r>
    <s v="EMP0488"/>
    <s v="Mohammed Alansari"/>
    <x v="5"/>
    <s v="Operations Specialist"/>
    <s v="Male"/>
    <d v="2020-04-24T00:00:00"/>
    <n v="9700"/>
    <n v="5"/>
    <s v="Active"/>
    <s v="Jeddah"/>
  </r>
  <r>
    <s v="EMP0489"/>
    <s v="Rayan Alharbi"/>
    <x v="7"/>
    <s v="Marketing Analyst"/>
    <s v="Male"/>
    <d v="2015-07-18T00:00:00"/>
    <n v="13300"/>
    <n v="4"/>
    <s v="Active"/>
    <s v="Dammam"/>
  </r>
  <r>
    <s v="EMP0490"/>
    <s v="Majed Alsharif"/>
    <x v="2"/>
    <s v="Key Account Manager"/>
    <s v="Male"/>
    <d v="2024-03-31T00:00:00"/>
    <n v="18100"/>
    <n v="4"/>
    <s v="Active"/>
    <s v="Riyadh"/>
  </r>
  <r>
    <s v="EMP0491"/>
    <s v="Fahad Alfarsi"/>
    <x v="0"/>
    <s v="Accountant"/>
    <s v="Male"/>
    <d v="2024-09-24T00:00:00"/>
    <n v="8300"/>
    <n v="4"/>
    <s v="Active"/>
    <s v="Dammam"/>
  </r>
  <r>
    <s v="EMP0492"/>
    <s v="Lama Alshammari"/>
    <x v="3"/>
    <s v="HR Assistant"/>
    <s v="Female"/>
    <d v="2014-12-27T00:00:00"/>
    <n v="6800"/>
    <n v="3"/>
    <s v="Active"/>
    <s v="Jeddah"/>
  </r>
  <r>
    <s v="EMP0493"/>
    <s v="Omar Alharbi"/>
    <x v="6"/>
    <s v="IT Manager"/>
    <s v="Male"/>
    <d v="2026-02-26T00:00:00"/>
    <n v="22900"/>
    <n v="3"/>
    <s v="Active"/>
    <s v="Riyadh"/>
  </r>
  <r>
    <s v="EMP0494"/>
    <s v="Bader Alshammari"/>
    <x v="0"/>
    <s v="Accountant"/>
    <s v="Male"/>
    <d v="2017-08-15T00:00:00"/>
    <n v="8200"/>
    <n v="4"/>
    <s v="Active"/>
    <s v="Dammam"/>
  </r>
  <r>
    <s v="EMP0495"/>
    <s v="Dana Almutairi"/>
    <x v="5"/>
    <s v="Operations Analyst"/>
    <s v="Female"/>
    <d v="2019-11-30T00:00:00"/>
    <n v="11700"/>
    <n v="3"/>
    <s v="Active"/>
    <s v="Dammam"/>
  </r>
  <r>
    <s v="EMP0496"/>
    <s v="Majed Alansari"/>
    <x v="1"/>
    <s v="Customer Service Agent"/>
    <s v="Male"/>
    <d v="2023-09-24T00:00:00"/>
    <n v="6600"/>
    <n v="4"/>
    <s v="Active"/>
    <s v="Jeddah"/>
  </r>
  <r>
    <s v="EMP0497"/>
    <s v="Raghad Alfarsi"/>
    <x v="0"/>
    <s v="Senior Accountant"/>
    <s v="Female"/>
    <d v="2019-07-06T00:00:00"/>
    <n v="12500"/>
    <n v="3"/>
    <s v="On Leave"/>
    <s v="Riyadh"/>
  </r>
  <r>
    <s v="EMP0498"/>
    <s v="Joud Alamri"/>
    <x v="1"/>
    <s v="Customer Service Agent"/>
    <s v="Female"/>
    <d v="2025-01-22T00:00:00"/>
    <n v="6200"/>
    <n v="3"/>
    <s v="On Leave"/>
    <s v="Dammam"/>
  </r>
  <r>
    <s v="EMP0499"/>
    <s v="Fatimah Alzahrani"/>
    <x v="4"/>
    <s v="Administrative Assistant"/>
    <s v="Female"/>
    <d v="2016-12-10T00:00:00"/>
    <n v="5500"/>
    <n v="3"/>
    <s v="Active"/>
    <s v="Riyadh"/>
  </r>
  <r>
    <s v="EMP0500"/>
    <s v="Abeer Alnasser"/>
    <x v="2"/>
    <s v="Key Account Manager"/>
    <s v="Female"/>
    <d v="2019-02-28T00:00:00"/>
    <n v="17200"/>
    <n v="1"/>
    <s v="Active"/>
    <s v="Riyad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x v="0"/>
    <s v="Accounting Assistant"/>
    <x v="0"/>
    <d v="2022-07-01T00:00:00"/>
    <x v="0"/>
    <n v="5"/>
    <x v="0"/>
    <x v="0"/>
  </r>
  <r>
    <x v="1"/>
    <x v="1"/>
    <x v="1"/>
    <s v="Customer Support Specialist"/>
    <x v="1"/>
    <d v="2022-03-22T00:00:00"/>
    <x v="1"/>
    <n v="4"/>
    <x v="0"/>
    <x v="1"/>
  </r>
  <r>
    <x v="2"/>
    <x v="2"/>
    <x v="2"/>
    <s v="Sales Analyst"/>
    <x v="0"/>
    <d v="2020-01-14T00:00:00"/>
    <x v="2"/>
    <n v="2"/>
    <x v="0"/>
    <x v="2"/>
  </r>
  <r>
    <x v="3"/>
    <x v="3"/>
    <x v="0"/>
    <s v="Accountant"/>
    <x v="1"/>
    <d v="2022-08-05T00:00:00"/>
    <x v="3"/>
    <n v="3"/>
    <x v="0"/>
    <x v="0"/>
  </r>
  <r>
    <x v="4"/>
    <x v="4"/>
    <x v="3"/>
    <s v="HR Operations Specialist"/>
    <x v="0"/>
    <d v="2015-06-30T00:00:00"/>
    <x v="4"/>
    <n v="4"/>
    <x v="0"/>
    <x v="0"/>
  </r>
  <r>
    <x v="5"/>
    <x v="5"/>
    <x v="2"/>
    <s v="Account Executive"/>
    <x v="0"/>
    <d v="2024-04-04T00:00:00"/>
    <x v="5"/>
    <n v="3"/>
    <x v="0"/>
    <x v="0"/>
  </r>
  <r>
    <x v="6"/>
    <x v="0"/>
    <x v="2"/>
    <s v="Key Account Manager"/>
    <x v="0"/>
    <d v="2018-02-23T00:00:00"/>
    <x v="6"/>
    <n v="3"/>
    <x v="0"/>
    <x v="3"/>
  </r>
  <r>
    <x v="7"/>
    <x v="6"/>
    <x v="4"/>
    <s v="Executive Secretary"/>
    <x v="0"/>
    <d v="2022-11-22T00:00:00"/>
    <x v="7"/>
    <n v="5"/>
    <x v="0"/>
    <x v="0"/>
  </r>
  <r>
    <x v="8"/>
    <x v="7"/>
    <x v="3"/>
    <s v="HR Operations Specialist"/>
    <x v="1"/>
    <d v="2016-07-31T00:00:00"/>
    <x v="8"/>
    <n v="4"/>
    <x v="0"/>
    <x v="3"/>
  </r>
  <r>
    <x v="9"/>
    <x v="8"/>
    <x v="4"/>
    <s v="Administration Manager"/>
    <x v="0"/>
    <d v="2014-04-07T00:00:00"/>
    <x v="9"/>
    <n v="3"/>
    <x v="0"/>
    <x v="4"/>
  </r>
  <r>
    <x v="10"/>
    <x v="9"/>
    <x v="5"/>
    <s v="Operations Supervisor"/>
    <x v="1"/>
    <d v="2015-06-21T00:00:00"/>
    <x v="10"/>
    <n v="3"/>
    <x v="1"/>
    <x v="0"/>
  </r>
  <r>
    <x v="11"/>
    <x v="10"/>
    <x v="0"/>
    <s v="Financial Analyst"/>
    <x v="0"/>
    <d v="2025-11-20T00:00:00"/>
    <x v="11"/>
    <n v="4"/>
    <x v="0"/>
    <x v="1"/>
  </r>
  <r>
    <x v="12"/>
    <x v="11"/>
    <x v="6"/>
    <s v="Systems Administrator"/>
    <x v="1"/>
    <d v="2021-01-29T00:00:00"/>
    <x v="12"/>
    <n v="4"/>
    <x v="0"/>
    <x v="0"/>
  </r>
  <r>
    <x v="13"/>
    <x v="12"/>
    <x v="3"/>
    <s v="HR Supervisor"/>
    <x v="0"/>
    <d v="2014-02-06T00:00:00"/>
    <x v="5"/>
    <n v="4"/>
    <x v="0"/>
    <x v="2"/>
  </r>
  <r>
    <x v="14"/>
    <x v="13"/>
    <x v="1"/>
    <s v="Team Leader"/>
    <x v="1"/>
    <d v="2025-10-07T00:00:00"/>
    <x v="13"/>
    <n v="3"/>
    <x v="0"/>
    <x v="0"/>
  </r>
  <r>
    <x v="15"/>
    <x v="14"/>
    <x v="6"/>
    <s v="Systems Administrator"/>
    <x v="1"/>
    <d v="2025-12-09T00:00:00"/>
    <x v="14"/>
    <n v="3"/>
    <x v="0"/>
    <x v="0"/>
  </r>
  <r>
    <x v="16"/>
    <x v="15"/>
    <x v="6"/>
    <s v="Systems Administrator"/>
    <x v="0"/>
    <d v="2018-09-12T00:00:00"/>
    <x v="8"/>
    <n v="4"/>
    <x v="0"/>
    <x v="2"/>
  </r>
  <r>
    <x v="17"/>
    <x v="16"/>
    <x v="3"/>
    <s v="HR Supervisor"/>
    <x v="0"/>
    <d v="2025-05-11T00:00:00"/>
    <x v="15"/>
    <n v="2"/>
    <x v="0"/>
    <x v="4"/>
  </r>
  <r>
    <x v="18"/>
    <x v="17"/>
    <x v="0"/>
    <s v="Financial Analyst"/>
    <x v="1"/>
    <d v="2019-06-25T00:00:00"/>
    <x v="16"/>
    <n v="3"/>
    <x v="0"/>
    <x v="0"/>
  </r>
  <r>
    <x v="19"/>
    <x v="18"/>
    <x v="5"/>
    <s v="Operations Analyst"/>
    <x v="0"/>
    <d v="2016-05-06T00:00:00"/>
    <x v="17"/>
    <n v="2"/>
    <x v="0"/>
    <x v="1"/>
  </r>
  <r>
    <x v="20"/>
    <x v="19"/>
    <x v="1"/>
    <s v="Team Leader"/>
    <x v="0"/>
    <d v="2026-06-27T00:00:00"/>
    <x v="4"/>
    <n v="3"/>
    <x v="0"/>
    <x v="0"/>
  </r>
  <r>
    <x v="21"/>
    <x v="20"/>
    <x v="6"/>
    <s v="IT Support"/>
    <x v="0"/>
    <d v="2022-07-10T00:00:00"/>
    <x v="18"/>
    <n v="4"/>
    <x v="0"/>
    <x v="2"/>
  </r>
  <r>
    <x v="22"/>
    <x v="21"/>
    <x v="2"/>
    <s v="Sales Analyst"/>
    <x v="0"/>
    <d v="2022-05-04T00:00:00"/>
    <x v="5"/>
    <n v="4"/>
    <x v="0"/>
    <x v="0"/>
  </r>
  <r>
    <x v="23"/>
    <x v="22"/>
    <x v="6"/>
    <s v="IT Manager"/>
    <x v="0"/>
    <d v="2018-11-28T00:00:00"/>
    <x v="19"/>
    <n v="4"/>
    <x v="0"/>
    <x v="0"/>
  </r>
  <r>
    <x v="24"/>
    <x v="23"/>
    <x v="6"/>
    <s v="Systems Administrator"/>
    <x v="1"/>
    <d v="2022-05-06T00:00:00"/>
    <x v="20"/>
    <n v="3"/>
    <x v="0"/>
    <x v="2"/>
  </r>
  <r>
    <x v="25"/>
    <x v="24"/>
    <x v="3"/>
    <s v="HR Specialist"/>
    <x v="0"/>
    <d v="2016-01-31T00:00:00"/>
    <x v="7"/>
    <n v="4"/>
    <x v="0"/>
    <x v="4"/>
  </r>
  <r>
    <x v="26"/>
    <x v="25"/>
    <x v="2"/>
    <s v="Account Executive"/>
    <x v="1"/>
    <d v="2015-01-08T00:00:00"/>
    <x v="21"/>
    <n v="3"/>
    <x v="0"/>
    <x v="2"/>
  </r>
  <r>
    <x v="27"/>
    <x v="26"/>
    <x v="5"/>
    <s v="Operations Specialist"/>
    <x v="0"/>
    <d v="2024-05-06T00:00:00"/>
    <x v="22"/>
    <n v="5"/>
    <x v="0"/>
    <x v="2"/>
  </r>
  <r>
    <x v="28"/>
    <x v="27"/>
    <x v="2"/>
    <s v="Sales Representative"/>
    <x v="0"/>
    <d v="2015-06-24T00:00:00"/>
    <x v="23"/>
    <n v="5"/>
    <x v="0"/>
    <x v="0"/>
  </r>
  <r>
    <x v="29"/>
    <x v="28"/>
    <x v="6"/>
    <s v="Systems Administrator"/>
    <x v="1"/>
    <d v="2016-05-15T00:00:00"/>
    <x v="24"/>
    <n v="3"/>
    <x v="0"/>
    <x v="0"/>
  </r>
  <r>
    <x v="30"/>
    <x v="29"/>
    <x v="5"/>
    <s v="Operations Analyst"/>
    <x v="1"/>
    <d v="2024-10-16T00:00:00"/>
    <x v="25"/>
    <n v="3"/>
    <x v="0"/>
    <x v="0"/>
  </r>
  <r>
    <x v="31"/>
    <x v="30"/>
    <x v="2"/>
    <s v="Sales Representative"/>
    <x v="0"/>
    <d v="2022-12-25T00:00:00"/>
    <x v="26"/>
    <n v="4"/>
    <x v="0"/>
    <x v="0"/>
  </r>
  <r>
    <x v="32"/>
    <x v="31"/>
    <x v="5"/>
    <s v="Operations Coordinator"/>
    <x v="0"/>
    <d v="2020-06-23T00:00:00"/>
    <x v="27"/>
    <n v="5"/>
    <x v="0"/>
    <x v="3"/>
  </r>
  <r>
    <x v="33"/>
    <x v="32"/>
    <x v="7"/>
    <s v="Digital Marketing Specialist"/>
    <x v="1"/>
    <d v="2014-04-05T00:00:00"/>
    <x v="11"/>
    <n v="4"/>
    <x v="0"/>
    <x v="0"/>
  </r>
  <r>
    <x v="34"/>
    <x v="33"/>
    <x v="6"/>
    <s v="IT Manager"/>
    <x v="0"/>
    <d v="2021-07-28T00:00:00"/>
    <x v="28"/>
    <n v="4"/>
    <x v="0"/>
    <x v="0"/>
  </r>
  <r>
    <x v="35"/>
    <x v="34"/>
    <x v="5"/>
    <s v="Operations Manager"/>
    <x v="0"/>
    <d v="2014-06-21T00:00:00"/>
    <x v="29"/>
    <n v="5"/>
    <x v="0"/>
    <x v="0"/>
  </r>
  <r>
    <x v="36"/>
    <x v="35"/>
    <x v="5"/>
    <s v="Operations Specialist"/>
    <x v="1"/>
    <d v="2019-04-23T00:00:00"/>
    <x v="30"/>
    <n v="1"/>
    <x v="0"/>
    <x v="0"/>
  </r>
  <r>
    <x v="37"/>
    <x v="36"/>
    <x v="0"/>
    <s v="Senior Accountant"/>
    <x v="1"/>
    <d v="2021-01-02T00:00:00"/>
    <x v="6"/>
    <n v="4"/>
    <x v="0"/>
    <x v="4"/>
  </r>
  <r>
    <x v="38"/>
    <x v="37"/>
    <x v="3"/>
    <s v="HR Specialist"/>
    <x v="0"/>
    <d v="2024-11-26T00:00:00"/>
    <x v="17"/>
    <n v="4"/>
    <x v="2"/>
    <x v="2"/>
  </r>
  <r>
    <x v="39"/>
    <x v="38"/>
    <x v="2"/>
    <s v="Account Executive"/>
    <x v="1"/>
    <d v="2014-01-25T00:00:00"/>
    <x v="3"/>
    <n v="4"/>
    <x v="0"/>
    <x v="2"/>
  </r>
  <r>
    <x v="40"/>
    <x v="39"/>
    <x v="0"/>
    <s v="Financial Analyst"/>
    <x v="0"/>
    <d v="2018-10-27T00:00:00"/>
    <x v="31"/>
    <n v="5"/>
    <x v="0"/>
    <x v="0"/>
  </r>
  <r>
    <x v="41"/>
    <x v="40"/>
    <x v="5"/>
    <s v="Operations Analyst"/>
    <x v="0"/>
    <d v="2022-11-02T00:00:00"/>
    <x v="32"/>
    <n v="5"/>
    <x v="0"/>
    <x v="2"/>
  </r>
  <r>
    <x v="42"/>
    <x v="41"/>
    <x v="5"/>
    <s v="Operations Specialist"/>
    <x v="1"/>
    <d v="2019-07-23T00:00:00"/>
    <x v="31"/>
    <n v="3"/>
    <x v="0"/>
    <x v="0"/>
  </r>
  <r>
    <x v="43"/>
    <x v="42"/>
    <x v="3"/>
    <s v="HR Operations Specialist"/>
    <x v="0"/>
    <d v="2024-10-06T00:00:00"/>
    <x v="33"/>
    <n v="3"/>
    <x v="0"/>
    <x v="4"/>
  </r>
  <r>
    <x v="44"/>
    <x v="43"/>
    <x v="7"/>
    <s v="Digital Marketing Specialist"/>
    <x v="0"/>
    <d v="2024-06-21T00:00:00"/>
    <x v="34"/>
    <n v="4"/>
    <x v="0"/>
    <x v="2"/>
  </r>
  <r>
    <x v="45"/>
    <x v="44"/>
    <x v="1"/>
    <s v="Customer Service Manager"/>
    <x v="0"/>
    <d v="2024-02-27T00:00:00"/>
    <x v="35"/>
    <n v="4"/>
    <x v="2"/>
    <x v="1"/>
  </r>
  <r>
    <x v="46"/>
    <x v="45"/>
    <x v="1"/>
    <s v="Customer Support Specialist"/>
    <x v="1"/>
    <d v="2022-07-08T00:00:00"/>
    <x v="0"/>
    <n v="5"/>
    <x v="0"/>
    <x v="0"/>
  </r>
  <r>
    <x v="47"/>
    <x v="46"/>
    <x v="2"/>
    <s v="Account Executive"/>
    <x v="0"/>
    <d v="2020-10-29T00:00:00"/>
    <x v="36"/>
    <n v="5"/>
    <x v="0"/>
    <x v="2"/>
  </r>
  <r>
    <x v="48"/>
    <x v="47"/>
    <x v="0"/>
    <s v="Senior Accountant"/>
    <x v="1"/>
    <d v="2015-11-12T00:00:00"/>
    <x v="13"/>
    <n v="4"/>
    <x v="0"/>
    <x v="0"/>
  </r>
  <r>
    <x v="49"/>
    <x v="48"/>
    <x v="2"/>
    <s v="Sales Representative"/>
    <x v="0"/>
    <d v="2025-02-02T00:00:00"/>
    <x v="26"/>
    <n v="4"/>
    <x v="0"/>
    <x v="0"/>
  </r>
  <r>
    <x v="50"/>
    <x v="49"/>
    <x v="3"/>
    <s v="HR Specialist"/>
    <x v="0"/>
    <d v="2022-08-07T00:00:00"/>
    <x v="33"/>
    <n v="2"/>
    <x v="0"/>
    <x v="3"/>
  </r>
  <r>
    <x v="51"/>
    <x v="50"/>
    <x v="7"/>
    <s v="Marketing Coordinator"/>
    <x v="0"/>
    <d v="2021-05-05T00:00:00"/>
    <x v="37"/>
    <n v="3"/>
    <x v="0"/>
    <x v="0"/>
  </r>
  <r>
    <x v="52"/>
    <x v="51"/>
    <x v="1"/>
    <s v="Customer Support Specialist"/>
    <x v="0"/>
    <d v="2017-06-08T00:00:00"/>
    <x v="38"/>
    <n v="4"/>
    <x v="0"/>
    <x v="2"/>
  </r>
  <r>
    <x v="53"/>
    <x v="52"/>
    <x v="5"/>
    <s v="Operations Specialist"/>
    <x v="0"/>
    <d v="2019-06-15T00:00:00"/>
    <x v="2"/>
    <n v="3"/>
    <x v="0"/>
    <x v="2"/>
  </r>
  <r>
    <x v="54"/>
    <x v="53"/>
    <x v="6"/>
    <s v="Software Engineer"/>
    <x v="0"/>
    <d v="2017-09-16T00:00:00"/>
    <x v="39"/>
    <n v="3"/>
    <x v="0"/>
    <x v="0"/>
  </r>
  <r>
    <x v="55"/>
    <x v="54"/>
    <x v="0"/>
    <s v="Accounting Assistant"/>
    <x v="0"/>
    <d v="2020-02-02T00:00:00"/>
    <x v="40"/>
    <n v="4"/>
    <x v="0"/>
    <x v="0"/>
  </r>
  <r>
    <x v="56"/>
    <x v="55"/>
    <x v="1"/>
    <s v="Customer Support Specialist"/>
    <x v="0"/>
    <d v="2019-06-09T00:00:00"/>
    <x v="41"/>
    <n v="4"/>
    <x v="0"/>
    <x v="0"/>
  </r>
  <r>
    <x v="57"/>
    <x v="56"/>
    <x v="6"/>
    <s v="Data Analyst"/>
    <x v="0"/>
    <d v="2021-04-27T00:00:00"/>
    <x v="22"/>
    <n v="4"/>
    <x v="0"/>
    <x v="0"/>
  </r>
  <r>
    <x v="58"/>
    <x v="57"/>
    <x v="7"/>
    <s v="Marketing Manager"/>
    <x v="0"/>
    <d v="2025-05-21T00:00:00"/>
    <x v="42"/>
    <n v="4"/>
    <x v="0"/>
    <x v="0"/>
  </r>
  <r>
    <x v="59"/>
    <x v="58"/>
    <x v="2"/>
    <s v="Sales Representative"/>
    <x v="1"/>
    <d v="2021-05-05T00:00:00"/>
    <x v="43"/>
    <n v="3"/>
    <x v="0"/>
    <x v="4"/>
  </r>
  <r>
    <x v="60"/>
    <x v="59"/>
    <x v="0"/>
    <s v="Financial Analyst"/>
    <x v="0"/>
    <d v="2020-07-23T00:00:00"/>
    <x v="44"/>
    <n v="4"/>
    <x v="0"/>
    <x v="0"/>
  </r>
  <r>
    <x v="61"/>
    <x v="12"/>
    <x v="5"/>
    <s v="Operations Analyst"/>
    <x v="0"/>
    <d v="2023-12-11T00:00:00"/>
    <x v="45"/>
    <n v="3"/>
    <x v="0"/>
    <x v="4"/>
  </r>
  <r>
    <x v="62"/>
    <x v="60"/>
    <x v="5"/>
    <s v="Operations Analyst"/>
    <x v="1"/>
    <d v="2025-03-02T00:00:00"/>
    <x v="46"/>
    <n v="5"/>
    <x v="2"/>
    <x v="4"/>
  </r>
  <r>
    <x v="63"/>
    <x v="61"/>
    <x v="5"/>
    <s v="Operations Specialist"/>
    <x v="0"/>
    <d v="2015-05-13T00:00:00"/>
    <x v="47"/>
    <n v="2"/>
    <x v="2"/>
    <x v="1"/>
  </r>
  <r>
    <x v="64"/>
    <x v="62"/>
    <x v="3"/>
    <s v="HR Specialist"/>
    <x v="1"/>
    <d v="2024-07-22T00:00:00"/>
    <x v="4"/>
    <n v="3"/>
    <x v="0"/>
    <x v="2"/>
  </r>
  <r>
    <x v="65"/>
    <x v="63"/>
    <x v="0"/>
    <s v="Financial Analyst"/>
    <x v="0"/>
    <d v="2016-02-08T00:00:00"/>
    <x v="48"/>
    <n v="3"/>
    <x v="0"/>
    <x v="2"/>
  </r>
  <r>
    <x v="66"/>
    <x v="64"/>
    <x v="3"/>
    <s v="HR Operations Specialist"/>
    <x v="0"/>
    <d v="2014-09-13T00:00:00"/>
    <x v="22"/>
    <n v="4"/>
    <x v="0"/>
    <x v="0"/>
  </r>
  <r>
    <x v="67"/>
    <x v="65"/>
    <x v="2"/>
    <s v="Sales Analyst"/>
    <x v="0"/>
    <d v="2025-11-18T00:00:00"/>
    <x v="2"/>
    <n v="1"/>
    <x v="0"/>
    <x v="2"/>
  </r>
  <r>
    <x v="68"/>
    <x v="66"/>
    <x v="1"/>
    <s v="Customer Support Specialist"/>
    <x v="1"/>
    <d v="2021-06-18T00:00:00"/>
    <x v="37"/>
    <n v="4"/>
    <x v="0"/>
    <x v="1"/>
  </r>
  <r>
    <x v="69"/>
    <x v="67"/>
    <x v="0"/>
    <s v="Accounting Assistant"/>
    <x v="1"/>
    <d v="2016-12-18T00:00:00"/>
    <x v="49"/>
    <n v="3"/>
    <x v="0"/>
    <x v="0"/>
  </r>
  <r>
    <x v="70"/>
    <x v="68"/>
    <x v="3"/>
    <s v="HR Specialist"/>
    <x v="0"/>
    <d v="2020-07-09T00:00:00"/>
    <x v="16"/>
    <n v="3"/>
    <x v="0"/>
    <x v="1"/>
  </r>
  <r>
    <x v="71"/>
    <x v="69"/>
    <x v="4"/>
    <s v="Administrative Assistant"/>
    <x v="1"/>
    <d v="2018-01-18T00:00:00"/>
    <x v="50"/>
    <n v="3"/>
    <x v="0"/>
    <x v="0"/>
  </r>
  <r>
    <x v="72"/>
    <x v="70"/>
    <x v="0"/>
    <s v="Accounting Assistant"/>
    <x v="0"/>
    <d v="2023-07-29T00:00:00"/>
    <x v="40"/>
    <n v="5"/>
    <x v="0"/>
    <x v="1"/>
  </r>
  <r>
    <x v="73"/>
    <x v="65"/>
    <x v="7"/>
    <s v="Marketing Coordinator"/>
    <x v="0"/>
    <d v="2021-05-14T00:00:00"/>
    <x v="51"/>
    <n v="4"/>
    <x v="0"/>
    <x v="0"/>
  </r>
  <r>
    <x v="74"/>
    <x v="71"/>
    <x v="3"/>
    <s v="HR Operations Specialist"/>
    <x v="0"/>
    <d v="2016-12-30T00:00:00"/>
    <x v="52"/>
    <n v="3"/>
    <x v="0"/>
    <x v="0"/>
  </r>
  <r>
    <x v="75"/>
    <x v="72"/>
    <x v="1"/>
    <s v="Customer Service Manager"/>
    <x v="1"/>
    <d v="2020-11-24T00:00:00"/>
    <x v="53"/>
    <n v="4"/>
    <x v="0"/>
    <x v="1"/>
  </r>
  <r>
    <x v="76"/>
    <x v="73"/>
    <x v="0"/>
    <s v="Accountant"/>
    <x v="0"/>
    <d v="2020-04-12T00:00:00"/>
    <x v="52"/>
    <n v="2"/>
    <x v="0"/>
    <x v="1"/>
  </r>
  <r>
    <x v="77"/>
    <x v="74"/>
    <x v="1"/>
    <s v="Quality Analyst"/>
    <x v="1"/>
    <d v="2020-08-28T00:00:00"/>
    <x v="1"/>
    <n v="4"/>
    <x v="2"/>
    <x v="0"/>
  </r>
  <r>
    <x v="78"/>
    <x v="75"/>
    <x v="3"/>
    <s v="HR Specialist"/>
    <x v="0"/>
    <d v="2021-03-15T00:00:00"/>
    <x v="45"/>
    <n v="4"/>
    <x v="0"/>
    <x v="0"/>
  </r>
  <r>
    <x v="79"/>
    <x v="76"/>
    <x v="2"/>
    <s v="Sales Analyst"/>
    <x v="1"/>
    <d v="2024-11-17T00:00:00"/>
    <x v="33"/>
    <n v="4"/>
    <x v="0"/>
    <x v="0"/>
  </r>
  <r>
    <x v="80"/>
    <x v="77"/>
    <x v="0"/>
    <s v="Accounting Assistant"/>
    <x v="1"/>
    <d v="2020-01-29T00:00:00"/>
    <x v="54"/>
    <n v="3"/>
    <x v="0"/>
    <x v="2"/>
  </r>
  <r>
    <x v="81"/>
    <x v="78"/>
    <x v="0"/>
    <s v="Finance Manager"/>
    <x v="0"/>
    <d v="2023-01-29T00:00:00"/>
    <x v="55"/>
    <n v="3"/>
    <x v="0"/>
    <x v="3"/>
  </r>
  <r>
    <x v="82"/>
    <x v="79"/>
    <x v="5"/>
    <s v="Operations Specialist"/>
    <x v="1"/>
    <d v="2019-06-04T00:00:00"/>
    <x v="11"/>
    <n v="3"/>
    <x v="0"/>
    <x v="0"/>
  </r>
  <r>
    <x v="83"/>
    <x v="80"/>
    <x v="6"/>
    <s v="Data Analyst"/>
    <x v="0"/>
    <d v="2024-03-29T00:00:00"/>
    <x v="25"/>
    <n v="3"/>
    <x v="0"/>
    <x v="2"/>
  </r>
  <r>
    <x v="84"/>
    <x v="81"/>
    <x v="3"/>
    <s v="HR Operations Specialist"/>
    <x v="0"/>
    <d v="2017-02-21T00:00:00"/>
    <x v="56"/>
    <n v="5"/>
    <x v="0"/>
    <x v="1"/>
  </r>
  <r>
    <x v="85"/>
    <x v="82"/>
    <x v="5"/>
    <s v="Operations Manager"/>
    <x v="0"/>
    <d v="2025-08-11T00:00:00"/>
    <x v="57"/>
    <n v="4"/>
    <x v="0"/>
    <x v="0"/>
  </r>
  <r>
    <x v="86"/>
    <x v="51"/>
    <x v="2"/>
    <s v="Sales Representative"/>
    <x v="0"/>
    <d v="2018-07-02T00:00:00"/>
    <x v="3"/>
    <n v="2"/>
    <x v="0"/>
    <x v="0"/>
  </r>
  <r>
    <x v="87"/>
    <x v="83"/>
    <x v="0"/>
    <s v="Financial Analyst"/>
    <x v="0"/>
    <d v="2024-06-10T00:00:00"/>
    <x v="58"/>
    <n v="3"/>
    <x v="0"/>
    <x v="0"/>
  </r>
  <r>
    <x v="88"/>
    <x v="84"/>
    <x v="6"/>
    <s v="Data Analyst"/>
    <x v="0"/>
    <d v="2019-01-28T00:00:00"/>
    <x v="11"/>
    <n v="5"/>
    <x v="0"/>
    <x v="4"/>
  </r>
  <r>
    <x v="89"/>
    <x v="85"/>
    <x v="6"/>
    <s v="Data Analyst"/>
    <x v="0"/>
    <d v="2014-11-23T00:00:00"/>
    <x v="45"/>
    <n v="4"/>
    <x v="0"/>
    <x v="1"/>
  </r>
  <r>
    <x v="90"/>
    <x v="29"/>
    <x v="0"/>
    <s v="Accountant"/>
    <x v="1"/>
    <d v="2026-08-23T00:00:00"/>
    <x v="2"/>
    <n v="4"/>
    <x v="0"/>
    <x v="2"/>
  </r>
  <r>
    <x v="91"/>
    <x v="86"/>
    <x v="0"/>
    <s v="Accountant"/>
    <x v="1"/>
    <d v="2014-10-22T00:00:00"/>
    <x v="11"/>
    <n v="2"/>
    <x v="0"/>
    <x v="1"/>
  </r>
  <r>
    <x v="92"/>
    <x v="87"/>
    <x v="2"/>
    <s v="Sales Analyst"/>
    <x v="0"/>
    <d v="2022-08-10T00:00:00"/>
    <x v="14"/>
    <n v="3"/>
    <x v="0"/>
    <x v="0"/>
  </r>
  <r>
    <x v="93"/>
    <x v="83"/>
    <x v="1"/>
    <s v="Customer Service Manager"/>
    <x v="0"/>
    <d v="2018-08-20T00:00:00"/>
    <x v="6"/>
    <n v="4"/>
    <x v="0"/>
    <x v="0"/>
  </r>
  <r>
    <x v="94"/>
    <x v="88"/>
    <x v="1"/>
    <s v="Team Leader"/>
    <x v="0"/>
    <d v="2014-06-16T00:00:00"/>
    <x v="59"/>
    <n v="3"/>
    <x v="0"/>
    <x v="0"/>
  </r>
  <r>
    <x v="95"/>
    <x v="89"/>
    <x v="7"/>
    <s v="Digital Marketing Specialist"/>
    <x v="0"/>
    <d v="2024-02-27T00:00:00"/>
    <x v="60"/>
    <n v="4"/>
    <x v="0"/>
    <x v="1"/>
  </r>
  <r>
    <x v="96"/>
    <x v="90"/>
    <x v="5"/>
    <s v="Operations Coordinator"/>
    <x v="0"/>
    <d v="2021-05-04T00:00:00"/>
    <x v="61"/>
    <n v="3"/>
    <x v="0"/>
    <x v="2"/>
  </r>
  <r>
    <x v="97"/>
    <x v="84"/>
    <x v="4"/>
    <s v="Administrative Supervisor"/>
    <x v="0"/>
    <d v="2023-05-12T00:00:00"/>
    <x v="62"/>
    <n v="4"/>
    <x v="0"/>
    <x v="4"/>
  </r>
  <r>
    <x v="98"/>
    <x v="91"/>
    <x v="6"/>
    <s v="IT Support"/>
    <x v="0"/>
    <d v="2015-11-15T00:00:00"/>
    <x v="40"/>
    <n v="3"/>
    <x v="0"/>
    <x v="2"/>
  </r>
  <r>
    <x v="99"/>
    <x v="44"/>
    <x v="2"/>
    <s v="Key Account Manager"/>
    <x v="0"/>
    <d v="2016-03-07T00:00:00"/>
    <x v="63"/>
    <n v="2"/>
    <x v="2"/>
    <x v="0"/>
  </r>
  <r>
    <x v="100"/>
    <x v="92"/>
    <x v="1"/>
    <s v="Team Leader"/>
    <x v="1"/>
    <d v="2017-05-21T00:00:00"/>
    <x v="31"/>
    <n v="2"/>
    <x v="0"/>
    <x v="0"/>
  </r>
  <r>
    <x v="101"/>
    <x v="18"/>
    <x v="2"/>
    <s v="Sales Analyst"/>
    <x v="0"/>
    <d v="2019-11-01T00:00:00"/>
    <x v="64"/>
    <n v="4"/>
    <x v="0"/>
    <x v="3"/>
  </r>
  <r>
    <x v="102"/>
    <x v="93"/>
    <x v="7"/>
    <s v="Digital Marketing Specialist"/>
    <x v="0"/>
    <d v="2020-03-19T00:00:00"/>
    <x v="65"/>
    <n v="4"/>
    <x v="1"/>
    <x v="2"/>
  </r>
  <r>
    <x v="103"/>
    <x v="94"/>
    <x v="5"/>
    <s v="Operations Coordinator"/>
    <x v="1"/>
    <d v="2020-02-28T00:00:00"/>
    <x v="52"/>
    <n v="5"/>
    <x v="0"/>
    <x v="0"/>
  </r>
  <r>
    <x v="104"/>
    <x v="95"/>
    <x v="6"/>
    <s v="IT Support"/>
    <x v="1"/>
    <d v="2018-07-08T00:00:00"/>
    <x v="36"/>
    <n v="4"/>
    <x v="1"/>
    <x v="2"/>
  </r>
  <r>
    <x v="105"/>
    <x v="96"/>
    <x v="4"/>
    <s v="Executive Secretary"/>
    <x v="0"/>
    <d v="2025-09-01T00:00:00"/>
    <x v="2"/>
    <n v="3"/>
    <x v="0"/>
    <x v="4"/>
  </r>
  <r>
    <x v="106"/>
    <x v="97"/>
    <x v="5"/>
    <s v="Operations Specialist"/>
    <x v="0"/>
    <d v="2025-04-26T00:00:00"/>
    <x v="66"/>
    <n v="3"/>
    <x v="2"/>
    <x v="2"/>
  </r>
  <r>
    <x v="107"/>
    <x v="98"/>
    <x v="0"/>
    <s v="Financial Analyst"/>
    <x v="1"/>
    <d v="2015-06-02T00:00:00"/>
    <x v="58"/>
    <n v="3"/>
    <x v="0"/>
    <x v="1"/>
  </r>
  <r>
    <x v="108"/>
    <x v="99"/>
    <x v="1"/>
    <s v="Customer Service Agent"/>
    <x v="1"/>
    <d v="2017-12-02T00:00:00"/>
    <x v="18"/>
    <n v="3"/>
    <x v="0"/>
    <x v="0"/>
  </r>
  <r>
    <x v="109"/>
    <x v="85"/>
    <x v="1"/>
    <s v="Customer Service Agent"/>
    <x v="0"/>
    <d v="2020-04-28T00:00:00"/>
    <x v="67"/>
    <n v="4"/>
    <x v="0"/>
    <x v="4"/>
  </r>
  <r>
    <x v="110"/>
    <x v="35"/>
    <x v="5"/>
    <s v="Operations Manager"/>
    <x v="1"/>
    <d v="2021-06-09T00:00:00"/>
    <x v="68"/>
    <n v="3"/>
    <x v="2"/>
    <x v="4"/>
  </r>
  <r>
    <x v="111"/>
    <x v="100"/>
    <x v="0"/>
    <s v="Financial Analyst"/>
    <x v="1"/>
    <d v="2014-07-21T00:00:00"/>
    <x v="69"/>
    <n v="3"/>
    <x v="0"/>
    <x v="0"/>
  </r>
  <r>
    <x v="112"/>
    <x v="101"/>
    <x v="6"/>
    <s v="Systems Administrator"/>
    <x v="1"/>
    <d v="2025-06-10T00:00:00"/>
    <x v="13"/>
    <n v="4"/>
    <x v="0"/>
    <x v="2"/>
  </r>
  <r>
    <x v="113"/>
    <x v="102"/>
    <x v="5"/>
    <s v="Operations Analyst"/>
    <x v="1"/>
    <d v="2024-08-13T00:00:00"/>
    <x v="2"/>
    <n v="4"/>
    <x v="0"/>
    <x v="0"/>
  </r>
  <r>
    <x v="114"/>
    <x v="103"/>
    <x v="7"/>
    <s v="Content Specialist"/>
    <x v="0"/>
    <d v="2014-07-08T00:00:00"/>
    <x v="44"/>
    <n v="4"/>
    <x v="2"/>
    <x v="0"/>
  </r>
  <r>
    <x v="115"/>
    <x v="104"/>
    <x v="6"/>
    <s v="Data Analyst"/>
    <x v="0"/>
    <d v="2019-04-16T00:00:00"/>
    <x v="14"/>
    <n v="4"/>
    <x v="1"/>
    <x v="2"/>
  </r>
  <r>
    <x v="116"/>
    <x v="105"/>
    <x v="3"/>
    <s v="HR Operations Specialist"/>
    <x v="1"/>
    <d v="2020-07-12T00:00:00"/>
    <x v="58"/>
    <n v="4"/>
    <x v="0"/>
    <x v="0"/>
  </r>
  <r>
    <x v="117"/>
    <x v="106"/>
    <x v="2"/>
    <s v="Sales Analyst"/>
    <x v="0"/>
    <d v="2021-09-17T00:00:00"/>
    <x v="70"/>
    <n v="5"/>
    <x v="0"/>
    <x v="0"/>
  </r>
  <r>
    <x v="118"/>
    <x v="107"/>
    <x v="6"/>
    <s v="IT Manager"/>
    <x v="1"/>
    <d v="2014-02-04T00:00:00"/>
    <x v="71"/>
    <n v="2"/>
    <x v="0"/>
    <x v="0"/>
  </r>
  <r>
    <x v="119"/>
    <x v="108"/>
    <x v="1"/>
    <s v="Team Leader"/>
    <x v="1"/>
    <d v="2018-11-20T00:00:00"/>
    <x v="60"/>
    <n v="3"/>
    <x v="0"/>
    <x v="2"/>
  </r>
  <r>
    <x v="120"/>
    <x v="109"/>
    <x v="0"/>
    <s v="Senior Accountant"/>
    <x v="1"/>
    <d v="2020-06-04T00:00:00"/>
    <x v="29"/>
    <n v="3"/>
    <x v="2"/>
    <x v="1"/>
  </r>
  <r>
    <x v="121"/>
    <x v="110"/>
    <x v="2"/>
    <s v="Key Account Manager"/>
    <x v="0"/>
    <d v="2024-03-15T00:00:00"/>
    <x v="6"/>
    <n v="4"/>
    <x v="0"/>
    <x v="3"/>
  </r>
  <r>
    <x v="122"/>
    <x v="111"/>
    <x v="4"/>
    <s v="Executive Secretary"/>
    <x v="1"/>
    <d v="2016-01-31T00:00:00"/>
    <x v="17"/>
    <n v="2"/>
    <x v="2"/>
    <x v="0"/>
  </r>
  <r>
    <x v="123"/>
    <x v="46"/>
    <x v="2"/>
    <s v="Sales Analyst"/>
    <x v="0"/>
    <d v="2019-01-25T00:00:00"/>
    <x v="70"/>
    <n v="4"/>
    <x v="0"/>
    <x v="0"/>
  </r>
  <r>
    <x v="124"/>
    <x v="105"/>
    <x v="7"/>
    <s v="Marketing Coordinator"/>
    <x v="1"/>
    <d v="2025-09-23T00:00:00"/>
    <x v="72"/>
    <n v="4"/>
    <x v="0"/>
    <x v="2"/>
  </r>
  <r>
    <x v="125"/>
    <x v="112"/>
    <x v="2"/>
    <s v="Sales Analyst"/>
    <x v="0"/>
    <d v="2022-02-05T00:00:00"/>
    <x v="12"/>
    <n v="1"/>
    <x v="0"/>
    <x v="0"/>
  </r>
  <r>
    <x v="126"/>
    <x v="113"/>
    <x v="2"/>
    <s v="Key Account Manager"/>
    <x v="1"/>
    <d v="2023-03-26T00:00:00"/>
    <x v="34"/>
    <n v="5"/>
    <x v="0"/>
    <x v="2"/>
  </r>
  <r>
    <x v="127"/>
    <x v="114"/>
    <x v="5"/>
    <s v="Operations Analyst"/>
    <x v="0"/>
    <d v="2026-05-07T00:00:00"/>
    <x v="31"/>
    <n v="3"/>
    <x v="0"/>
    <x v="0"/>
  </r>
  <r>
    <x v="128"/>
    <x v="115"/>
    <x v="1"/>
    <s v="Team Leader"/>
    <x v="0"/>
    <d v="2018-09-24T00:00:00"/>
    <x v="14"/>
    <n v="4"/>
    <x v="0"/>
    <x v="2"/>
  </r>
  <r>
    <x v="129"/>
    <x v="116"/>
    <x v="4"/>
    <s v="Office Coordinator"/>
    <x v="0"/>
    <d v="2018-03-11T00:00:00"/>
    <x v="73"/>
    <n v="4"/>
    <x v="0"/>
    <x v="3"/>
  </r>
  <r>
    <x v="130"/>
    <x v="117"/>
    <x v="3"/>
    <s v="HR Assistant"/>
    <x v="1"/>
    <d v="2023-01-18T00:00:00"/>
    <x v="74"/>
    <n v="3"/>
    <x v="0"/>
    <x v="2"/>
  </r>
  <r>
    <x v="131"/>
    <x v="118"/>
    <x v="7"/>
    <s v="Content Specialist"/>
    <x v="1"/>
    <d v="2022-09-24T00:00:00"/>
    <x v="44"/>
    <n v="3"/>
    <x v="2"/>
    <x v="2"/>
  </r>
  <r>
    <x v="132"/>
    <x v="119"/>
    <x v="5"/>
    <s v="Operations Supervisor"/>
    <x v="1"/>
    <d v="2017-03-17T00:00:00"/>
    <x v="75"/>
    <n v="3"/>
    <x v="0"/>
    <x v="0"/>
  </r>
  <r>
    <x v="133"/>
    <x v="120"/>
    <x v="0"/>
    <s v="Financial Analyst"/>
    <x v="1"/>
    <d v="2021-07-13T00:00:00"/>
    <x v="8"/>
    <n v="4"/>
    <x v="2"/>
    <x v="2"/>
  </r>
  <r>
    <x v="134"/>
    <x v="121"/>
    <x v="4"/>
    <s v="Executive Secretary"/>
    <x v="0"/>
    <d v="2019-09-30T00:00:00"/>
    <x v="32"/>
    <n v="5"/>
    <x v="0"/>
    <x v="4"/>
  </r>
  <r>
    <x v="135"/>
    <x v="122"/>
    <x v="5"/>
    <s v="Operations Analyst"/>
    <x v="0"/>
    <d v="2017-07-23T00:00:00"/>
    <x v="17"/>
    <n v="4"/>
    <x v="0"/>
    <x v="4"/>
  </r>
  <r>
    <x v="136"/>
    <x v="123"/>
    <x v="5"/>
    <s v="Operations Specialist"/>
    <x v="1"/>
    <d v="2021-09-03T00:00:00"/>
    <x v="17"/>
    <n v="3"/>
    <x v="0"/>
    <x v="2"/>
  </r>
  <r>
    <x v="137"/>
    <x v="124"/>
    <x v="4"/>
    <s v="Executive Secretary"/>
    <x v="1"/>
    <d v="2015-03-07T00:00:00"/>
    <x v="76"/>
    <n v="4"/>
    <x v="0"/>
    <x v="1"/>
  </r>
  <r>
    <x v="138"/>
    <x v="10"/>
    <x v="0"/>
    <s v="Financial Analyst"/>
    <x v="0"/>
    <d v="2026-05-03T00:00:00"/>
    <x v="44"/>
    <n v="4"/>
    <x v="0"/>
    <x v="2"/>
  </r>
  <r>
    <x v="139"/>
    <x v="125"/>
    <x v="1"/>
    <s v="Customer Support Specialist"/>
    <x v="0"/>
    <d v="2020-11-25T00:00:00"/>
    <x v="77"/>
    <n v="3"/>
    <x v="0"/>
    <x v="3"/>
  </r>
  <r>
    <x v="140"/>
    <x v="126"/>
    <x v="7"/>
    <s v="Marketing Coordinator"/>
    <x v="0"/>
    <d v="2017-09-16T00:00:00"/>
    <x v="54"/>
    <n v="4"/>
    <x v="1"/>
    <x v="2"/>
  </r>
  <r>
    <x v="141"/>
    <x v="127"/>
    <x v="6"/>
    <s v="Data Analyst"/>
    <x v="0"/>
    <d v="2019-07-24T00:00:00"/>
    <x v="31"/>
    <n v="3"/>
    <x v="0"/>
    <x v="0"/>
  </r>
  <r>
    <x v="142"/>
    <x v="26"/>
    <x v="7"/>
    <s v="Marketing Manager"/>
    <x v="0"/>
    <d v="2014-09-28T00:00:00"/>
    <x v="78"/>
    <n v="3"/>
    <x v="0"/>
    <x v="2"/>
  </r>
  <r>
    <x v="143"/>
    <x v="128"/>
    <x v="5"/>
    <s v="Operations Specialist"/>
    <x v="0"/>
    <d v="2024-01-20T00:00:00"/>
    <x v="79"/>
    <n v="3"/>
    <x v="0"/>
    <x v="0"/>
  </r>
  <r>
    <x v="144"/>
    <x v="129"/>
    <x v="7"/>
    <s v="Content Specialist"/>
    <x v="0"/>
    <d v="2019-07-27T00:00:00"/>
    <x v="66"/>
    <n v="2"/>
    <x v="0"/>
    <x v="2"/>
  </r>
  <r>
    <x v="145"/>
    <x v="85"/>
    <x v="5"/>
    <s v="Operations Supervisor"/>
    <x v="0"/>
    <d v="2022-04-04T00:00:00"/>
    <x v="15"/>
    <n v="4"/>
    <x v="0"/>
    <x v="0"/>
  </r>
  <r>
    <x v="146"/>
    <x v="130"/>
    <x v="0"/>
    <s v="Accountant"/>
    <x v="0"/>
    <d v="2022-12-28T00:00:00"/>
    <x v="30"/>
    <n v="4"/>
    <x v="2"/>
    <x v="0"/>
  </r>
  <r>
    <x v="147"/>
    <x v="131"/>
    <x v="3"/>
    <s v="HR Assistant"/>
    <x v="1"/>
    <d v="2017-08-13T00:00:00"/>
    <x v="18"/>
    <n v="4"/>
    <x v="0"/>
    <x v="2"/>
  </r>
  <r>
    <x v="148"/>
    <x v="132"/>
    <x v="4"/>
    <s v="Office Coordinator"/>
    <x v="1"/>
    <d v="2020-06-15T00:00:00"/>
    <x v="80"/>
    <n v="3"/>
    <x v="1"/>
    <x v="2"/>
  </r>
  <r>
    <x v="149"/>
    <x v="133"/>
    <x v="7"/>
    <s v="Content Specialist"/>
    <x v="1"/>
    <d v="2014-11-22T00:00:00"/>
    <x v="33"/>
    <n v="4"/>
    <x v="2"/>
    <x v="0"/>
  </r>
  <r>
    <x v="150"/>
    <x v="104"/>
    <x v="5"/>
    <s v="Operations Analyst"/>
    <x v="0"/>
    <d v="2026-07-13T00:00:00"/>
    <x v="24"/>
    <n v="5"/>
    <x v="1"/>
    <x v="2"/>
  </r>
  <r>
    <x v="151"/>
    <x v="122"/>
    <x v="0"/>
    <s v="Accounting Assistant"/>
    <x v="0"/>
    <d v="2016-11-25T00:00:00"/>
    <x v="54"/>
    <n v="3"/>
    <x v="0"/>
    <x v="0"/>
  </r>
  <r>
    <x v="152"/>
    <x v="69"/>
    <x v="4"/>
    <s v="Office Coordinator"/>
    <x v="1"/>
    <d v="2020-10-22T00:00:00"/>
    <x v="77"/>
    <n v="4"/>
    <x v="0"/>
    <x v="0"/>
  </r>
  <r>
    <x v="153"/>
    <x v="134"/>
    <x v="5"/>
    <s v="Operations Specialist"/>
    <x v="0"/>
    <d v="2015-11-27T00:00:00"/>
    <x v="79"/>
    <n v="2"/>
    <x v="0"/>
    <x v="2"/>
  </r>
  <r>
    <x v="154"/>
    <x v="135"/>
    <x v="1"/>
    <s v="Quality Analyst"/>
    <x v="1"/>
    <d v="2015-07-13T00:00:00"/>
    <x v="79"/>
    <n v="4"/>
    <x v="0"/>
    <x v="2"/>
  </r>
  <r>
    <x v="155"/>
    <x v="136"/>
    <x v="0"/>
    <s v="Financial Analyst"/>
    <x v="0"/>
    <d v="2023-01-27T00:00:00"/>
    <x v="81"/>
    <n v="3"/>
    <x v="0"/>
    <x v="1"/>
  </r>
  <r>
    <x v="156"/>
    <x v="120"/>
    <x v="0"/>
    <s v="Financial Analyst"/>
    <x v="1"/>
    <d v="2016-08-12T00:00:00"/>
    <x v="15"/>
    <n v="4"/>
    <x v="0"/>
    <x v="2"/>
  </r>
  <r>
    <x v="157"/>
    <x v="137"/>
    <x v="6"/>
    <s v="IT Support"/>
    <x v="0"/>
    <d v="2022-02-11T00:00:00"/>
    <x v="21"/>
    <n v="4"/>
    <x v="0"/>
    <x v="2"/>
  </r>
  <r>
    <x v="158"/>
    <x v="138"/>
    <x v="3"/>
    <s v="HR Assistant"/>
    <x v="1"/>
    <d v="2020-07-28T00:00:00"/>
    <x v="51"/>
    <n v="5"/>
    <x v="0"/>
    <x v="3"/>
  </r>
  <r>
    <x v="159"/>
    <x v="46"/>
    <x v="2"/>
    <s v="Key Account Manager"/>
    <x v="0"/>
    <d v="2019-04-13T00:00:00"/>
    <x v="82"/>
    <n v="4"/>
    <x v="0"/>
    <x v="0"/>
  </r>
  <r>
    <x v="160"/>
    <x v="139"/>
    <x v="6"/>
    <s v="Systems Administrator"/>
    <x v="0"/>
    <d v="2014-07-10T00:00:00"/>
    <x v="10"/>
    <n v="4"/>
    <x v="0"/>
    <x v="2"/>
  </r>
  <r>
    <x v="161"/>
    <x v="140"/>
    <x v="7"/>
    <s v="Marketing Manager"/>
    <x v="0"/>
    <d v="2024-10-23T00:00:00"/>
    <x v="83"/>
    <n v="3"/>
    <x v="0"/>
    <x v="0"/>
  </r>
  <r>
    <x v="162"/>
    <x v="141"/>
    <x v="0"/>
    <s v="Accounting Assistant"/>
    <x v="0"/>
    <d v="2025-09-04T00:00:00"/>
    <x v="74"/>
    <n v="3"/>
    <x v="0"/>
    <x v="0"/>
  </r>
  <r>
    <x v="163"/>
    <x v="142"/>
    <x v="7"/>
    <s v="Digital Marketing Specialist"/>
    <x v="1"/>
    <d v="2019-03-29T00:00:00"/>
    <x v="17"/>
    <n v="2"/>
    <x v="0"/>
    <x v="0"/>
  </r>
  <r>
    <x v="164"/>
    <x v="143"/>
    <x v="5"/>
    <s v="Operations Analyst"/>
    <x v="0"/>
    <d v="2025-04-15T00:00:00"/>
    <x v="81"/>
    <n v="4"/>
    <x v="0"/>
    <x v="0"/>
  </r>
  <r>
    <x v="165"/>
    <x v="144"/>
    <x v="5"/>
    <s v="Operations Supervisor"/>
    <x v="1"/>
    <d v="2026-01-09T00:00:00"/>
    <x v="75"/>
    <n v="4"/>
    <x v="2"/>
    <x v="2"/>
  </r>
  <r>
    <x v="166"/>
    <x v="145"/>
    <x v="0"/>
    <s v="Accountant"/>
    <x v="1"/>
    <d v="2017-02-13T00:00:00"/>
    <x v="11"/>
    <n v="3"/>
    <x v="0"/>
    <x v="0"/>
  </r>
  <r>
    <x v="167"/>
    <x v="146"/>
    <x v="6"/>
    <s v="IT Support"/>
    <x v="1"/>
    <d v="2026-03-06T00:00:00"/>
    <x v="79"/>
    <n v="4"/>
    <x v="0"/>
    <x v="4"/>
  </r>
  <r>
    <x v="168"/>
    <x v="147"/>
    <x v="5"/>
    <s v="Operations Analyst"/>
    <x v="0"/>
    <d v="2020-04-21T00:00:00"/>
    <x v="31"/>
    <n v="4"/>
    <x v="0"/>
    <x v="0"/>
  </r>
  <r>
    <x v="169"/>
    <x v="148"/>
    <x v="5"/>
    <s v="Operations Supervisor"/>
    <x v="1"/>
    <d v="2024-05-26T00:00:00"/>
    <x v="84"/>
    <n v="4"/>
    <x v="0"/>
    <x v="1"/>
  </r>
  <r>
    <x v="170"/>
    <x v="149"/>
    <x v="6"/>
    <s v="Systems Administrator"/>
    <x v="0"/>
    <d v="2019-10-11T00:00:00"/>
    <x v="7"/>
    <n v="1"/>
    <x v="0"/>
    <x v="1"/>
  </r>
  <r>
    <x v="171"/>
    <x v="150"/>
    <x v="3"/>
    <s v="HR Supervisor"/>
    <x v="0"/>
    <d v="2024-07-13T00:00:00"/>
    <x v="85"/>
    <n v="3"/>
    <x v="0"/>
    <x v="0"/>
  </r>
  <r>
    <x v="172"/>
    <x v="151"/>
    <x v="4"/>
    <s v="Administrative Supervisor"/>
    <x v="0"/>
    <d v="2022-06-10T00:00:00"/>
    <x v="86"/>
    <n v="4"/>
    <x v="0"/>
    <x v="1"/>
  </r>
  <r>
    <x v="173"/>
    <x v="152"/>
    <x v="4"/>
    <s v="Office Coordinator"/>
    <x v="0"/>
    <d v="2015-05-19T00:00:00"/>
    <x v="38"/>
    <n v="5"/>
    <x v="0"/>
    <x v="1"/>
  </r>
  <r>
    <x v="174"/>
    <x v="153"/>
    <x v="5"/>
    <s v="Operations Specialist"/>
    <x v="0"/>
    <d v="2026-07-04T00:00:00"/>
    <x v="1"/>
    <n v="4"/>
    <x v="0"/>
    <x v="3"/>
  </r>
  <r>
    <x v="175"/>
    <x v="154"/>
    <x v="3"/>
    <s v="HR Supervisor"/>
    <x v="0"/>
    <d v="2023-02-22T00:00:00"/>
    <x v="87"/>
    <n v="4"/>
    <x v="0"/>
    <x v="0"/>
  </r>
  <r>
    <x v="176"/>
    <x v="155"/>
    <x v="0"/>
    <s v="Accounting Assistant"/>
    <x v="0"/>
    <d v="2022-06-28T00:00:00"/>
    <x v="88"/>
    <n v="3"/>
    <x v="0"/>
    <x v="4"/>
  </r>
  <r>
    <x v="177"/>
    <x v="156"/>
    <x v="5"/>
    <s v="Operations Coordinator"/>
    <x v="0"/>
    <d v="2023-10-13T00:00:00"/>
    <x v="89"/>
    <n v="2"/>
    <x v="0"/>
    <x v="0"/>
  </r>
  <r>
    <x v="178"/>
    <x v="157"/>
    <x v="1"/>
    <s v="Customer Service Manager"/>
    <x v="0"/>
    <d v="2025-12-23T00:00:00"/>
    <x v="90"/>
    <n v="4"/>
    <x v="0"/>
    <x v="2"/>
  </r>
  <r>
    <x v="179"/>
    <x v="108"/>
    <x v="5"/>
    <s v="Operations Specialist"/>
    <x v="1"/>
    <d v="2025-11-16T00:00:00"/>
    <x v="8"/>
    <n v="4"/>
    <x v="0"/>
    <x v="1"/>
  </r>
  <r>
    <x v="180"/>
    <x v="158"/>
    <x v="5"/>
    <s v="Operations Analyst"/>
    <x v="1"/>
    <d v="2020-03-30T00:00:00"/>
    <x v="33"/>
    <n v="2"/>
    <x v="0"/>
    <x v="0"/>
  </r>
  <r>
    <x v="181"/>
    <x v="159"/>
    <x v="6"/>
    <s v="Systems Administrator"/>
    <x v="1"/>
    <d v="2020-05-13T00:00:00"/>
    <x v="91"/>
    <n v="4"/>
    <x v="0"/>
    <x v="0"/>
  </r>
  <r>
    <x v="182"/>
    <x v="160"/>
    <x v="1"/>
    <s v="Customer Service Agent"/>
    <x v="0"/>
    <d v="2025-03-25T00:00:00"/>
    <x v="26"/>
    <n v="4"/>
    <x v="0"/>
    <x v="0"/>
  </r>
  <r>
    <x v="183"/>
    <x v="161"/>
    <x v="6"/>
    <s v="IT Manager"/>
    <x v="1"/>
    <d v="2015-01-22T00:00:00"/>
    <x v="78"/>
    <n v="4"/>
    <x v="0"/>
    <x v="0"/>
  </r>
  <r>
    <x v="184"/>
    <x v="162"/>
    <x v="3"/>
    <s v="HR Operations Specialist"/>
    <x v="0"/>
    <d v="2022-05-09T00:00:00"/>
    <x v="92"/>
    <n v="4"/>
    <x v="0"/>
    <x v="2"/>
  </r>
  <r>
    <x v="185"/>
    <x v="163"/>
    <x v="5"/>
    <s v="Operations Supervisor"/>
    <x v="1"/>
    <d v="2022-10-04T00:00:00"/>
    <x v="84"/>
    <n v="1"/>
    <x v="0"/>
    <x v="0"/>
  </r>
  <r>
    <x v="186"/>
    <x v="164"/>
    <x v="5"/>
    <s v="Operations Specialist"/>
    <x v="0"/>
    <d v="2024-09-28T00:00:00"/>
    <x v="11"/>
    <n v="4"/>
    <x v="0"/>
    <x v="0"/>
  </r>
  <r>
    <x v="187"/>
    <x v="165"/>
    <x v="7"/>
    <s v="Marketing Coordinator"/>
    <x v="0"/>
    <d v="2024-10-20T00:00:00"/>
    <x v="43"/>
    <n v="4"/>
    <x v="0"/>
    <x v="0"/>
  </r>
  <r>
    <x v="188"/>
    <x v="166"/>
    <x v="6"/>
    <s v="Software Engineer"/>
    <x v="1"/>
    <d v="2024-02-12T00:00:00"/>
    <x v="11"/>
    <n v="4"/>
    <x v="2"/>
    <x v="0"/>
  </r>
  <r>
    <x v="189"/>
    <x v="167"/>
    <x v="0"/>
    <s v="Accounting Assistant"/>
    <x v="1"/>
    <d v="2016-09-01T00:00:00"/>
    <x v="54"/>
    <n v="4"/>
    <x v="0"/>
    <x v="2"/>
  </r>
  <r>
    <x v="190"/>
    <x v="135"/>
    <x v="2"/>
    <s v="Account Executive"/>
    <x v="1"/>
    <d v="2022-06-29T00:00:00"/>
    <x v="38"/>
    <n v="5"/>
    <x v="0"/>
    <x v="0"/>
  </r>
  <r>
    <x v="191"/>
    <x v="168"/>
    <x v="7"/>
    <s v="Content Specialist"/>
    <x v="1"/>
    <d v="2015-12-12T00:00:00"/>
    <x v="65"/>
    <n v="4"/>
    <x v="1"/>
    <x v="0"/>
  </r>
  <r>
    <x v="192"/>
    <x v="169"/>
    <x v="1"/>
    <s v="Customer Service Agent"/>
    <x v="0"/>
    <d v="2026-05-11T00:00:00"/>
    <x v="93"/>
    <n v="3"/>
    <x v="0"/>
    <x v="2"/>
  </r>
  <r>
    <x v="193"/>
    <x v="170"/>
    <x v="1"/>
    <s v="Customer Support Specialist"/>
    <x v="0"/>
    <d v="2019-01-18T00:00:00"/>
    <x v="38"/>
    <n v="1"/>
    <x v="0"/>
    <x v="0"/>
  </r>
  <r>
    <x v="194"/>
    <x v="171"/>
    <x v="6"/>
    <s v="Software Engineer"/>
    <x v="0"/>
    <d v="2019-11-09T00:00:00"/>
    <x v="58"/>
    <n v="4"/>
    <x v="2"/>
    <x v="0"/>
  </r>
  <r>
    <x v="195"/>
    <x v="172"/>
    <x v="5"/>
    <s v="Operations Analyst"/>
    <x v="0"/>
    <d v="2018-10-22T00:00:00"/>
    <x v="94"/>
    <n v="4"/>
    <x v="0"/>
    <x v="0"/>
  </r>
  <r>
    <x v="196"/>
    <x v="164"/>
    <x v="6"/>
    <s v="Data Analyst"/>
    <x v="0"/>
    <d v="2026-04-06T00:00:00"/>
    <x v="4"/>
    <n v="3"/>
    <x v="0"/>
    <x v="2"/>
  </r>
  <r>
    <x v="197"/>
    <x v="173"/>
    <x v="1"/>
    <s v="Quality Analyst"/>
    <x v="0"/>
    <d v="2025-04-28T00:00:00"/>
    <x v="46"/>
    <n v="3"/>
    <x v="1"/>
    <x v="2"/>
  </r>
  <r>
    <x v="198"/>
    <x v="112"/>
    <x v="2"/>
    <s v="Account Executive"/>
    <x v="0"/>
    <d v="2022-11-27T00:00:00"/>
    <x v="95"/>
    <n v="4"/>
    <x v="0"/>
    <x v="4"/>
  </r>
  <r>
    <x v="199"/>
    <x v="174"/>
    <x v="5"/>
    <s v="Operations Specialist"/>
    <x v="0"/>
    <d v="2023-04-22T00:00:00"/>
    <x v="72"/>
    <n v="3"/>
    <x v="0"/>
    <x v="2"/>
  </r>
  <r>
    <x v="200"/>
    <x v="175"/>
    <x v="7"/>
    <s v="Digital Marketing Specialist"/>
    <x v="0"/>
    <d v="2016-08-18T00:00:00"/>
    <x v="44"/>
    <n v="2"/>
    <x v="0"/>
    <x v="0"/>
  </r>
  <r>
    <x v="201"/>
    <x v="176"/>
    <x v="3"/>
    <s v="HR Manager"/>
    <x v="0"/>
    <d v="2022-05-13T00:00:00"/>
    <x v="96"/>
    <n v="3"/>
    <x v="0"/>
    <x v="2"/>
  </r>
  <r>
    <x v="202"/>
    <x v="177"/>
    <x v="7"/>
    <s v="Digital Marketing Specialist"/>
    <x v="1"/>
    <d v="2022-04-16T00:00:00"/>
    <x v="25"/>
    <n v="3"/>
    <x v="0"/>
    <x v="2"/>
  </r>
  <r>
    <x v="203"/>
    <x v="178"/>
    <x v="0"/>
    <s v="Financial Analyst"/>
    <x v="1"/>
    <d v="2024-02-01T00:00:00"/>
    <x v="94"/>
    <n v="3"/>
    <x v="0"/>
    <x v="0"/>
  </r>
  <r>
    <x v="204"/>
    <x v="179"/>
    <x v="5"/>
    <s v="Operations Supervisor"/>
    <x v="1"/>
    <d v="2014-01-18T00:00:00"/>
    <x v="97"/>
    <n v="5"/>
    <x v="0"/>
    <x v="2"/>
  </r>
  <r>
    <x v="205"/>
    <x v="180"/>
    <x v="1"/>
    <s v="Team Leader"/>
    <x v="0"/>
    <d v="2026-08-10T00:00:00"/>
    <x v="32"/>
    <n v="2"/>
    <x v="0"/>
    <x v="3"/>
  </r>
  <r>
    <x v="206"/>
    <x v="181"/>
    <x v="1"/>
    <s v="Team Leader"/>
    <x v="1"/>
    <d v="2019-12-07T00:00:00"/>
    <x v="2"/>
    <n v="4"/>
    <x v="0"/>
    <x v="0"/>
  </r>
  <r>
    <x v="207"/>
    <x v="182"/>
    <x v="6"/>
    <s v="Systems Administrator"/>
    <x v="1"/>
    <d v="2026-02-12T00:00:00"/>
    <x v="46"/>
    <n v="5"/>
    <x v="0"/>
    <x v="0"/>
  </r>
  <r>
    <x v="208"/>
    <x v="183"/>
    <x v="1"/>
    <s v="Customer Support Specialist"/>
    <x v="1"/>
    <d v="2022-05-01T00:00:00"/>
    <x v="92"/>
    <n v="3"/>
    <x v="0"/>
    <x v="1"/>
  </r>
  <r>
    <x v="209"/>
    <x v="184"/>
    <x v="2"/>
    <s v="Account Executive"/>
    <x v="0"/>
    <d v="2025-06-11T00:00:00"/>
    <x v="79"/>
    <n v="3"/>
    <x v="0"/>
    <x v="1"/>
  </r>
  <r>
    <x v="210"/>
    <x v="185"/>
    <x v="2"/>
    <s v="Sales Representative"/>
    <x v="0"/>
    <d v="2024-12-17T00:00:00"/>
    <x v="74"/>
    <n v="5"/>
    <x v="0"/>
    <x v="4"/>
  </r>
  <r>
    <x v="211"/>
    <x v="4"/>
    <x v="0"/>
    <s v="Financial Analyst"/>
    <x v="0"/>
    <d v="2020-10-09T00:00:00"/>
    <x v="62"/>
    <n v="5"/>
    <x v="0"/>
    <x v="0"/>
  </r>
  <r>
    <x v="212"/>
    <x v="186"/>
    <x v="4"/>
    <s v="Office Coordinator"/>
    <x v="0"/>
    <d v="2023-12-21T00:00:00"/>
    <x v="73"/>
    <n v="3"/>
    <x v="0"/>
    <x v="4"/>
  </r>
  <r>
    <x v="213"/>
    <x v="187"/>
    <x v="7"/>
    <s v="Marketing Analyst"/>
    <x v="0"/>
    <d v="2022-01-27T00:00:00"/>
    <x v="2"/>
    <n v="2"/>
    <x v="1"/>
    <x v="0"/>
  </r>
  <r>
    <x v="214"/>
    <x v="127"/>
    <x v="1"/>
    <s v="Customer Support Specialist"/>
    <x v="0"/>
    <d v="2025-05-14T00:00:00"/>
    <x v="0"/>
    <n v="3"/>
    <x v="0"/>
    <x v="0"/>
  </r>
  <r>
    <x v="215"/>
    <x v="188"/>
    <x v="1"/>
    <s v="Quality Analyst"/>
    <x v="0"/>
    <d v="2017-09-16T00:00:00"/>
    <x v="31"/>
    <n v="2"/>
    <x v="0"/>
    <x v="3"/>
  </r>
  <r>
    <x v="216"/>
    <x v="189"/>
    <x v="5"/>
    <s v="Operations Specialist"/>
    <x v="0"/>
    <d v="2016-11-23T00:00:00"/>
    <x v="80"/>
    <n v="4"/>
    <x v="0"/>
    <x v="0"/>
  </r>
  <r>
    <x v="217"/>
    <x v="190"/>
    <x v="6"/>
    <s v="Systems Administrator"/>
    <x v="0"/>
    <d v="2021-07-24T00:00:00"/>
    <x v="91"/>
    <n v="5"/>
    <x v="0"/>
    <x v="0"/>
  </r>
  <r>
    <x v="218"/>
    <x v="191"/>
    <x v="4"/>
    <s v="Executive Secretary"/>
    <x v="0"/>
    <d v="2018-01-11T00:00:00"/>
    <x v="45"/>
    <n v="4"/>
    <x v="0"/>
    <x v="0"/>
  </r>
  <r>
    <x v="219"/>
    <x v="192"/>
    <x v="5"/>
    <s v="Operations Coordinator"/>
    <x v="0"/>
    <d v="2024-02-09T00:00:00"/>
    <x v="79"/>
    <n v="3"/>
    <x v="0"/>
    <x v="0"/>
  </r>
  <r>
    <x v="220"/>
    <x v="193"/>
    <x v="4"/>
    <s v="Office Coordinator"/>
    <x v="0"/>
    <d v="2020-08-16T00:00:00"/>
    <x v="43"/>
    <n v="3"/>
    <x v="0"/>
    <x v="2"/>
  </r>
  <r>
    <x v="221"/>
    <x v="194"/>
    <x v="1"/>
    <s v="Quality Analyst"/>
    <x v="0"/>
    <d v="2016-01-06T00:00:00"/>
    <x v="98"/>
    <n v="3"/>
    <x v="1"/>
    <x v="1"/>
  </r>
  <r>
    <x v="222"/>
    <x v="195"/>
    <x v="6"/>
    <s v="Systems Administrator"/>
    <x v="0"/>
    <d v="2015-11-26T00:00:00"/>
    <x v="25"/>
    <n v="2"/>
    <x v="0"/>
    <x v="0"/>
  </r>
  <r>
    <x v="223"/>
    <x v="196"/>
    <x v="5"/>
    <s v="Operations Analyst"/>
    <x v="0"/>
    <d v="2016-03-15T00:00:00"/>
    <x v="65"/>
    <n v="3"/>
    <x v="0"/>
    <x v="2"/>
  </r>
  <r>
    <x v="224"/>
    <x v="197"/>
    <x v="5"/>
    <s v="Operations Analyst"/>
    <x v="1"/>
    <d v="2024-04-04T00:00:00"/>
    <x v="99"/>
    <n v="3"/>
    <x v="0"/>
    <x v="2"/>
  </r>
  <r>
    <x v="225"/>
    <x v="67"/>
    <x v="0"/>
    <s v="Accounting Assistant"/>
    <x v="1"/>
    <d v="2017-03-11T00:00:00"/>
    <x v="51"/>
    <n v="4"/>
    <x v="0"/>
    <x v="2"/>
  </r>
  <r>
    <x v="226"/>
    <x v="198"/>
    <x v="4"/>
    <s v="Administrative Assistant"/>
    <x v="0"/>
    <d v="2015-01-24T00:00:00"/>
    <x v="37"/>
    <n v="5"/>
    <x v="0"/>
    <x v="0"/>
  </r>
  <r>
    <x v="227"/>
    <x v="93"/>
    <x v="0"/>
    <s v="Accounting Assistant"/>
    <x v="0"/>
    <d v="2021-10-16T00:00:00"/>
    <x v="43"/>
    <n v="4"/>
    <x v="2"/>
    <x v="0"/>
  </r>
  <r>
    <x v="228"/>
    <x v="169"/>
    <x v="3"/>
    <s v="HR Operations Specialist"/>
    <x v="0"/>
    <d v="2014-02-27T00:00:00"/>
    <x v="98"/>
    <n v="4"/>
    <x v="1"/>
    <x v="0"/>
  </r>
  <r>
    <x v="229"/>
    <x v="43"/>
    <x v="1"/>
    <s v="Team Leader"/>
    <x v="0"/>
    <d v="2020-11-21T00:00:00"/>
    <x v="46"/>
    <n v="2"/>
    <x v="0"/>
    <x v="2"/>
  </r>
  <r>
    <x v="230"/>
    <x v="199"/>
    <x v="6"/>
    <s v="Systems Administrator"/>
    <x v="0"/>
    <d v="2021-05-13T00:00:00"/>
    <x v="47"/>
    <n v="3"/>
    <x v="0"/>
    <x v="2"/>
  </r>
  <r>
    <x v="231"/>
    <x v="200"/>
    <x v="3"/>
    <s v="HR Supervisor"/>
    <x v="0"/>
    <d v="2025-11-12T00:00:00"/>
    <x v="99"/>
    <n v="3"/>
    <x v="0"/>
    <x v="0"/>
  </r>
  <r>
    <x v="232"/>
    <x v="201"/>
    <x v="5"/>
    <s v="Operations Coordinator"/>
    <x v="1"/>
    <d v="2014-12-18T00:00:00"/>
    <x v="100"/>
    <n v="3"/>
    <x v="0"/>
    <x v="0"/>
  </r>
  <r>
    <x v="233"/>
    <x v="202"/>
    <x v="2"/>
    <s v="Key Account Manager"/>
    <x v="0"/>
    <d v="2015-11-22T00:00:00"/>
    <x v="94"/>
    <n v="1"/>
    <x v="0"/>
    <x v="0"/>
  </r>
  <r>
    <x v="234"/>
    <x v="203"/>
    <x v="1"/>
    <s v="Customer Support Specialist"/>
    <x v="0"/>
    <d v="2022-11-29T00:00:00"/>
    <x v="61"/>
    <n v="4"/>
    <x v="2"/>
    <x v="0"/>
  </r>
  <r>
    <x v="235"/>
    <x v="123"/>
    <x v="0"/>
    <s v="Finance Manager"/>
    <x v="1"/>
    <d v="2018-12-01T00:00:00"/>
    <x v="101"/>
    <n v="4"/>
    <x v="0"/>
    <x v="2"/>
  </r>
  <r>
    <x v="236"/>
    <x v="204"/>
    <x v="3"/>
    <s v="HR Operations Specialist"/>
    <x v="1"/>
    <d v="2016-07-22T00:00:00"/>
    <x v="72"/>
    <n v="4"/>
    <x v="1"/>
    <x v="0"/>
  </r>
  <r>
    <x v="237"/>
    <x v="134"/>
    <x v="6"/>
    <s v="Data Analyst"/>
    <x v="0"/>
    <d v="2022-11-27T00:00:00"/>
    <x v="58"/>
    <n v="3"/>
    <x v="0"/>
    <x v="2"/>
  </r>
  <r>
    <x v="238"/>
    <x v="2"/>
    <x v="3"/>
    <s v="HR Operations Specialist"/>
    <x v="0"/>
    <d v="2024-10-19T00:00:00"/>
    <x v="76"/>
    <n v="4"/>
    <x v="0"/>
    <x v="4"/>
  </r>
  <r>
    <x v="239"/>
    <x v="205"/>
    <x v="2"/>
    <s v="Sales Analyst"/>
    <x v="1"/>
    <d v="2022-05-26T00:00:00"/>
    <x v="13"/>
    <n v="4"/>
    <x v="0"/>
    <x v="3"/>
  </r>
  <r>
    <x v="240"/>
    <x v="206"/>
    <x v="1"/>
    <s v="Quality Analyst"/>
    <x v="1"/>
    <d v="2015-07-04T00:00:00"/>
    <x v="47"/>
    <n v="4"/>
    <x v="2"/>
    <x v="0"/>
  </r>
  <r>
    <x v="241"/>
    <x v="207"/>
    <x v="1"/>
    <s v="Quality Analyst"/>
    <x v="0"/>
    <d v="2018-01-25T00:00:00"/>
    <x v="31"/>
    <n v="3"/>
    <x v="0"/>
    <x v="2"/>
  </r>
  <r>
    <x v="242"/>
    <x v="208"/>
    <x v="3"/>
    <s v="HR Specialist"/>
    <x v="0"/>
    <d v="2021-04-14T00:00:00"/>
    <x v="27"/>
    <n v="4"/>
    <x v="0"/>
    <x v="0"/>
  </r>
  <r>
    <x v="243"/>
    <x v="157"/>
    <x v="1"/>
    <s v="Customer Service Agent"/>
    <x v="0"/>
    <d v="2014-02-17T00:00:00"/>
    <x v="74"/>
    <n v="5"/>
    <x v="0"/>
    <x v="0"/>
  </r>
  <r>
    <x v="244"/>
    <x v="209"/>
    <x v="2"/>
    <s v="Sales Manager"/>
    <x v="0"/>
    <d v="2020-02-26T00:00:00"/>
    <x v="102"/>
    <n v="2"/>
    <x v="0"/>
    <x v="4"/>
  </r>
  <r>
    <x v="245"/>
    <x v="210"/>
    <x v="6"/>
    <s v="Software Engineer"/>
    <x v="0"/>
    <d v="2023-11-13T00:00:00"/>
    <x v="10"/>
    <n v="2"/>
    <x v="0"/>
    <x v="4"/>
  </r>
  <r>
    <x v="246"/>
    <x v="211"/>
    <x v="5"/>
    <s v="Operations Specialist"/>
    <x v="1"/>
    <d v="2022-09-05T00:00:00"/>
    <x v="21"/>
    <n v="4"/>
    <x v="0"/>
    <x v="3"/>
  </r>
  <r>
    <x v="247"/>
    <x v="212"/>
    <x v="5"/>
    <s v="Operations Specialist"/>
    <x v="0"/>
    <d v="2024-02-29T00:00:00"/>
    <x v="80"/>
    <n v="4"/>
    <x v="2"/>
    <x v="0"/>
  </r>
  <r>
    <x v="248"/>
    <x v="15"/>
    <x v="3"/>
    <s v="HR Specialist"/>
    <x v="0"/>
    <d v="2016-12-12T00:00:00"/>
    <x v="73"/>
    <n v="4"/>
    <x v="0"/>
    <x v="1"/>
  </r>
  <r>
    <x v="249"/>
    <x v="211"/>
    <x v="1"/>
    <s v="Customer Support Specialist"/>
    <x v="1"/>
    <d v="2021-09-04T00:00:00"/>
    <x v="43"/>
    <n v="3"/>
    <x v="0"/>
    <x v="0"/>
  </r>
  <r>
    <x v="250"/>
    <x v="213"/>
    <x v="2"/>
    <s v="Sales Analyst"/>
    <x v="1"/>
    <d v="2019-09-01T00:00:00"/>
    <x v="70"/>
    <n v="3"/>
    <x v="0"/>
    <x v="0"/>
  </r>
  <r>
    <x v="251"/>
    <x v="1"/>
    <x v="3"/>
    <s v="HR Operations Specialist"/>
    <x v="1"/>
    <d v="2024-05-01T00:00:00"/>
    <x v="44"/>
    <n v="4"/>
    <x v="0"/>
    <x v="4"/>
  </r>
  <r>
    <x v="252"/>
    <x v="95"/>
    <x v="4"/>
    <s v="Executive Secretary"/>
    <x v="1"/>
    <d v="2024-02-05T00:00:00"/>
    <x v="17"/>
    <n v="5"/>
    <x v="0"/>
    <x v="2"/>
  </r>
  <r>
    <x v="253"/>
    <x v="19"/>
    <x v="6"/>
    <s v="Systems Administrator"/>
    <x v="0"/>
    <d v="2014-10-27T00:00:00"/>
    <x v="13"/>
    <n v="2"/>
    <x v="0"/>
    <x v="1"/>
  </r>
  <r>
    <x v="254"/>
    <x v="214"/>
    <x v="2"/>
    <s v="Account Executive"/>
    <x v="1"/>
    <d v="2024-01-01T00:00:00"/>
    <x v="65"/>
    <n v="1"/>
    <x v="0"/>
    <x v="0"/>
  </r>
  <r>
    <x v="255"/>
    <x v="215"/>
    <x v="6"/>
    <s v="Systems Administrator"/>
    <x v="1"/>
    <d v="2025-07-19T00:00:00"/>
    <x v="2"/>
    <n v="3"/>
    <x v="0"/>
    <x v="0"/>
  </r>
  <r>
    <x v="256"/>
    <x v="216"/>
    <x v="7"/>
    <s v="Marketing Coordinator"/>
    <x v="0"/>
    <d v="2018-08-14T00:00:00"/>
    <x v="38"/>
    <n v="1"/>
    <x v="0"/>
    <x v="0"/>
  </r>
  <r>
    <x v="257"/>
    <x v="109"/>
    <x v="4"/>
    <s v="Office Coordinator"/>
    <x v="1"/>
    <d v="2016-08-17T00:00:00"/>
    <x v="103"/>
    <n v="2"/>
    <x v="2"/>
    <x v="3"/>
  </r>
  <r>
    <x v="258"/>
    <x v="71"/>
    <x v="6"/>
    <s v="Systems Administrator"/>
    <x v="0"/>
    <d v="2018-04-25T00:00:00"/>
    <x v="25"/>
    <n v="2"/>
    <x v="0"/>
    <x v="2"/>
  </r>
  <r>
    <x v="259"/>
    <x v="217"/>
    <x v="7"/>
    <s v="Marketing Coordinator"/>
    <x v="0"/>
    <d v="2017-11-26T00:00:00"/>
    <x v="0"/>
    <n v="4"/>
    <x v="0"/>
    <x v="0"/>
  </r>
  <r>
    <x v="260"/>
    <x v="218"/>
    <x v="6"/>
    <s v="Data Analyst"/>
    <x v="0"/>
    <d v="2020-07-21T00:00:00"/>
    <x v="20"/>
    <n v="3"/>
    <x v="0"/>
    <x v="0"/>
  </r>
  <r>
    <x v="261"/>
    <x v="219"/>
    <x v="0"/>
    <s v="Accountant"/>
    <x v="0"/>
    <d v="2022-06-16T00:00:00"/>
    <x v="8"/>
    <n v="3"/>
    <x v="0"/>
    <x v="2"/>
  </r>
  <r>
    <x v="262"/>
    <x v="220"/>
    <x v="6"/>
    <s v="Data Analyst"/>
    <x v="0"/>
    <d v="2017-11-14T00:00:00"/>
    <x v="104"/>
    <n v="2"/>
    <x v="0"/>
    <x v="2"/>
  </r>
  <r>
    <x v="263"/>
    <x v="221"/>
    <x v="0"/>
    <s v="Financial Analyst"/>
    <x v="1"/>
    <d v="2019-12-07T00:00:00"/>
    <x v="32"/>
    <n v="2"/>
    <x v="0"/>
    <x v="0"/>
  </r>
  <r>
    <x v="264"/>
    <x v="51"/>
    <x v="0"/>
    <s v="Accountant"/>
    <x v="0"/>
    <d v="2018-01-11T00:00:00"/>
    <x v="98"/>
    <n v="2"/>
    <x v="0"/>
    <x v="0"/>
  </r>
  <r>
    <x v="265"/>
    <x v="222"/>
    <x v="5"/>
    <s v="Operations Supervisor"/>
    <x v="0"/>
    <d v="2021-05-05T00:00:00"/>
    <x v="105"/>
    <n v="4"/>
    <x v="0"/>
    <x v="3"/>
  </r>
  <r>
    <x v="266"/>
    <x v="223"/>
    <x v="2"/>
    <s v="Sales Analyst"/>
    <x v="0"/>
    <d v="2019-02-15T00:00:00"/>
    <x v="60"/>
    <n v="2"/>
    <x v="0"/>
    <x v="0"/>
  </r>
  <r>
    <x v="267"/>
    <x v="224"/>
    <x v="5"/>
    <s v="Operations Manager"/>
    <x v="0"/>
    <d v="2017-12-01T00:00:00"/>
    <x v="106"/>
    <n v="3"/>
    <x v="0"/>
    <x v="4"/>
  </r>
  <r>
    <x v="268"/>
    <x v="225"/>
    <x v="3"/>
    <s v="HR Specialist"/>
    <x v="0"/>
    <d v="2026-07-04T00:00:00"/>
    <x v="47"/>
    <n v="4"/>
    <x v="0"/>
    <x v="2"/>
  </r>
  <r>
    <x v="269"/>
    <x v="226"/>
    <x v="2"/>
    <s v="Sales Analyst"/>
    <x v="1"/>
    <d v="2023-08-30T00:00:00"/>
    <x v="94"/>
    <n v="2"/>
    <x v="2"/>
    <x v="0"/>
  </r>
  <r>
    <x v="270"/>
    <x v="227"/>
    <x v="2"/>
    <s v="Key Account Manager"/>
    <x v="0"/>
    <d v="2018-09-11T00:00:00"/>
    <x v="107"/>
    <n v="4"/>
    <x v="0"/>
    <x v="2"/>
  </r>
  <r>
    <x v="271"/>
    <x v="228"/>
    <x v="3"/>
    <s v="HR Specialist"/>
    <x v="0"/>
    <d v="2016-10-02T00:00:00"/>
    <x v="27"/>
    <n v="4"/>
    <x v="0"/>
    <x v="1"/>
  </r>
  <r>
    <x v="272"/>
    <x v="229"/>
    <x v="6"/>
    <s v="Systems Administrator"/>
    <x v="1"/>
    <d v="2018-11-14T00:00:00"/>
    <x v="62"/>
    <n v="4"/>
    <x v="0"/>
    <x v="0"/>
  </r>
  <r>
    <x v="273"/>
    <x v="230"/>
    <x v="3"/>
    <s v="HR Operations Specialist"/>
    <x v="1"/>
    <d v="2020-10-10T00:00:00"/>
    <x v="69"/>
    <n v="2"/>
    <x v="0"/>
    <x v="1"/>
  </r>
  <r>
    <x v="274"/>
    <x v="231"/>
    <x v="2"/>
    <s v="Account Executive"/>
    <x v="0"/>
    <d v="2020-07-24T00:00:00"/>
    <x v="73"/>
    <n v="4"/>
    <x v="0"/>
    <x v="1"/>
  </r>
  <r>
    <x v="275"/>
    <x v="31"/>
    <x v="7"/>
    <s v="Marketing Analyst"/>
    <x v="0"/>
    <d v="2014-05-16T00:00:00"/>
    <x v="8"/>
    <n v="2"/>
    <x v="0"/>
    <x v="2"/>
  </r>
  <r>
    <x v="276"/>
    <x v="232"/>
    <x v="6"/>
    <s v="Software Engineer"/>
    <x v="0"/>
    <d v="2014-07-28T00:00:00"/>
    <x v="29"/>
    <n v="5"/>
    <x v="0"/>
    <x v="0"/>
  </r>
  <r>
    <x v="277"/>
    <x v="41"/>
    <x v="7"/>
    <s v="Digital Marketing Specialist"/>
    <x v="1"/>
    <d v="2016-10-31T00:00:00"/>
    <x v="14"/>
    <n v="2"/>
    <x v="0"/>
    <x v="1"/>
  </r>
  <r>
    <x v="278"/>
    <x v="233"/>
    <x v="5"/>
    <s v="Operations Specialist"/>
    <x v="1"/>
    <d v="2022-06-02T00:00:00"/>
    <x v="91"/>
    <n v="1"/>
    <x v="0"/>
    <x v="2"/>
  </r>
  <r>
    <x v="279"/>
    <x v="234"/>
    <x v="5"/>
    <s v="Operations Coordinator"/>
    <x v="0"/>
    <d v="2019-06-04T00:00:00"/>
    <x v="108"/>
    <n v="3"/>
    <x v="0"/>
    <x v="4"/>
  </r>
  <r>
    <x v="280"/>
    <x v="15"/>
    <x v="0"/>
    <s v="Senior Accountant"/>
    <x v="0"/>
    <d v="2025-06-16T00:00:00"/>
    <x v="109"/>
    <n v="3"/>
    <x v="2"/>
    <x v="0"/>
  </r>
  <r>
    <x v="281"/>
    <x v="235"/>
    <x v="1"/>
    <s v="Customer Support Specialist"/>
    <x v="0"/>
    <d v="2025-12-20T00:00:00"/>
    <x v="110"/>
    <n v="5"/>
    <x v="0"/>
    <x v="1"/>
  </r>
  <r>
    <x v="282"/>
    <x v="236"/>
    <x v="3"/>
    <s v="HR Assistant"/>
    <x v="0"/>
    <d v="2024-03-28T00:00:00"/>
    <x v="77"/>
    <n v="2"/>
    <x v="0"/>
    <x v="1"/>
  </r>
  <r>
    <x v="283"/>
    <x v="237"/>
    <x v="0"/>
    <s v="Senior Accountant"/>
    <x v="1"/>
    <d v="2025-07-26T00:00:00"/>
    <x v="111"/>
    <n v="1"/>
    <x v="0"/>
    <x v="1"/>
  </r>
  <r>
    <x v="284"/>
    <x v="238"/>
    <x v="5"/>
    <s v="Operations Analyst"/>
    <x v="0"/>
    <d v="2018-04-07T00:00:00"/>
    <x v="63"/>
    <n v="5"/>
    <x v="0"/>
    <x v="2"/>
  </r>
  <r>
    <x v="285"/>
    <x v="239"/>
    <x v="7"/>
    <s v="Marketing Coordinator"/>
    <x v="1"/>
    <d v="2022-01-08T00:00:00"/>
    <x v="54"/>
    <n v="4"/>
    <x v="0"/>
    <x v="0"/>
  </r>
  <r>
    <x v="286"/>
    <x v="240"/>
    <x v="5"/>
    <s v="Operations Analyst"/>
    <x v="1"/>
    <d v="2019-08-25T00:00:00"/>
    <x v="94"/>
    <n v="5"/>
    <x v="0"/>
    <x v="0"/>
  </r>
  <r>
    <x v="287"/>
    <x v="78"/>
    <x v="5"/>
    <s v="Operations Specialist"/>
    <x v="0"/>
    <d v="2019-08-11T00:00:00"/>
    <x v="31"/>
    <n v="4"/>
    <x v="0"/>
    <x v="4"/>
  </r>
  <r>
    <x v="288"/>
    <x v="241"/>
    <x v="7"/>
    <s v="Marketing Analyst"/>
    <x v="0"/>
    <d v="2022-12-12T00:00:00"/>
    <x v="112"/>
    <n v="5"/>
    <x v="0"/>
    <x v="0"/>
  </r>
  <r>
    <x v="289"/>
    <x v="242"/>
    <x v="3"/>
    <s v="HR Supervisor"/>
    <x v="0"/>
    <d v="2014-02-19T00:00:00"/>
    <x v="69"/>
    <n v="5"/>
    <x v="0"/>
    <x v="1"/>
  </r>
  <r>
    <x v="290"/>
    <x v="136"/>
    <x v="3"/>
    <s v="HR Assistant"/>
    <x v="0"/>
    <d v="2020-10-28T00:00:00"/>
    <x v="49"/>
    <n v="3"/>
    <x v="2"/>
    <x v="1"/>
  </r>
  <r>
    <x v="291"/>
    <x v="243"/>
    <x v="2"/>
    <s v="Sales Analyst"/>
    <x v="1"/>
    <d v="2019-12-12T00:00:00"/>
    <x v="32"/>
    <n v="3"/>
    <x v="2"/>
    <x v="4"/>
  </r>
  <r>
    <x v="292"/>
    <x v="37"/>
    <x v="2"/>
    <s v="Sales Analyst"/>
    <x v="0"/>
    <d v="2022-01-04T00:00:00"/>
    <x v="2"/>
    <n v="4"/>
    <x v="0"/>
    <x v="0"/>
  </r>
  <r>
    <x v="293"/>
    <x v="244"/>
    <x v="4"/>
    <s v="Administrative Supervisor"/>
    <x v="1"/>
    <d v="2019-06-02T00:00:00"/>
    <x v="6"/>
    <n v="5"/>
    <x v="2"/>
    <x v="1"/>
  </r>
  <r>
    <x v="294"/>
    <x v="172"/>
    <x v="6"/>
    <s v="IT Support"/>
    <x v="0"/>
    <d v="2017-07-11T00:00:00"/>
    <x v="37"/>
    <n v="5"/>
    <x v="0"/>
    <x v="0"/>
  </r>
  <r>
    <x v="295"/>
    <x v="245"/>
    <x v="5"/>
    <s v="Operations Specialist"/>
    <x v="1"/>
    <d v="2020-02-26T00:00:00"/>
    <x v="46"/>
    <n v="4"/>
    <x v="0"/>
    <x v="2"/>
  </r>
  <r>
    <x v="296"/>
    <x v="246"/>
    <x v="5"/>
    <s v="Operations Specialist"/>
    <x v="1"/>
    <d v="2020-02-08T00:00:00"/>
    <x v="80"/>
    <n v="3"/>
    <x v="0"/>
    <x v="2"/>
  </r>
  <r>
    <x v="297"/>
    <x v="247"/>
    <x v="5"/>
    <s v="Operations Specialist"/>
    <x v="0"/>
    <d v="2022-07-13T00:00:00"/>
    <x v="100"/>
    <n v="3"/>
    <x v="0"/>
    <x v="0"/>
  </r>
  <r>
    <x v="298"/>
    <x v="128"/>
    <x v="7"/>
    <s v="Marketing Analyst"/>
    <x v="0"/>
    <d v="2023-04-05T00:00:00"/>
    <x v="2"/>
    <n v="4"/>
    <x v="0"/>
    <x v="1"/>
  </r>
  <r>
    <x v="299"/>
    <x v="248"/>
    <x v="1"/>
    <s v="Customer Service Agent"/>
    <x v="1"/>
    <d v="2026-04-01T00:00:00"/>
    <x v="113"/>
    <n v="4"/>
    <x v="0"/>
    <x v="0"/>
  </r>
  <r>
    <x v="300"/>
    <x v="249"/>
    <x v="0"/>
    <s v="Accounting Assistant"/>
    <x v="1"/>
    <d v="2023-09-11T00:00:00"/>
    <x v="114"/>
    <n v="5"/>
    <x v="0"/>
    <x v="2"/>
  </r>
  <r>
    <x v="301"/>
    <x v="250"/>
    <x v="0"/>
    <s v="Accountant"/>
    <x v="0"/>
    <d v="2020-12-15T00:00:00"/>
    <x v="79"/>
    <n v="4"/>
    <x v="0"/>
    <x v="1"/>
  </r>
  <r>
    <x v="302"/>
    <x v="251"/>
    <x v="1"/>
    <s v="Team Leader"/>
    <x v="0"/>
    <d v="2018-07-27T00:00:00"/>
    <x v="80"/>
    <n v="4"/>
    <x v="0"/>
    <x v="0"/>
  </r>
  <r>
    <x v="303"/>
    <x v="252"/>
    <x v="4"/>
    <s v="Office Coordinator"/>
    <x v="0"/>
    <d v="2025-06-19T00:00:00"/>
    <x v="95"/>
    <n v="4"/>
    <x v="2"/>
    <x v="2"/>
  </r>
  <r>
    <x v="304"/>
    <x v="175"/>
    <x v="0"/>
    <s v="Senior Accountant"/>
    <x v="0"/>
    <d v="2023-12-20T00:00:00"/>
    <x v="115"/>
    <n v="3"/>
    <x v="0"/>
    <x v="0"/>
  </r>
  <r>
    <x v="305"/>
    <x v="253"/>
    <x v="6"/>
    <s v="Data Analyst"/>
    <x v="0"/>
    <d v="2016-11-27T00:00:00"/>
    <x v="86"/>
    <n v="4"/>
    <x v="0"/>
    <x v="0"/>
  </r>
  <r>
    <x v="306"/>
    <x v="254"/>
    <x v="5"/>
    <s v="Operations Specialist"/>
    <x v="0"/>
    <d v="2023-09-18T00:00:00"/>
    <x v="45"/>
    <n v="4"/>
    <x v="0"/>
    <x v="4"/>
  </r>
  <r>
    <x v="307"/>
    <x v="255"/>
    <x v="3"/>
    <s v="HR Manager"/>
    <x v="1"/>
    <d v="2017-02-25T00:00:00"/>
    <x v="116"/>
    <n v="4"/>
    <x v="0"/>
    <x v="0"/>
  </r>
  <r>
    <x v="308"/>
    <x v="256"/>
    <x v="5"/>
    <s v="Operations Supervisor"/>
    <x v="1"/>
    <d v="2015-09-21T00:00:00"/>
    <x v="34"/>
    <n v="4"/>
    <x v="0"/>
    <x v="0"/>
  </r>
  <r>
    <x v="309"/>
    <x v="197"/>
    <x v="5"/>
    <s v="Operations Manager"/>
    <x v="1"/>
    <d v="2020-04-14T00:00:00"/>
    <x v="117"/>
    <n v="2"/>
    <x v="1"/>
    <x v="0"/>
  </r>
  <r>
    <x v="310"/>
    <x v="257"/>
    <x v="5"/>
    <s v="Operations Supervisor"/>
    <x v="0"/>
    <d v="2026-07-31T00:00:00"/>
    <x v="70"/>
    <n v="3"/>
    <x v="0"/>
    <x v="2"/>
  </r>
  <r>
    <x v="311"/>
    <x v="235"/>
    <x v="3"/>
    <s v="HR Operations Specialist"/>
    <x v="0"/>
    <d v="2026-06-14T00:00:00"/>
    <x v="69"/>
    <n v="3"/>
    <x v="0"/>
    <x v="3"/>
  </r>
  <r>
    <x v="312"/>
    <x v="16"/>
    <x v="4"/>
    <s v="Office Coordinator"/>
    <x v="0"/>
    <d v="2021-12-23T00:00:00"/>
    <x v="1"/>
    <n v="4"/>
    <x v="0"/>
    <x v="0"/>
  </r>
  <r>
    <x v="313"/>
    <x v="258"/>
    <x v="1"/>
    <s v="Customer Support Specialist"/>
    <x v="1"/>
    <d v="2018-05-04T00:00:00"/>
    <x v="114"/>
    <n v="4"/>
    <x v="0"/>
    <x v="0"/>
  </r>
  <r>
    <x v="314"/>
    <x v="259"/>
    <x v="2"/>
    <s v="Sales Analyst"/>
    <x v="0"/>
    <d v="2019-03-23T00:00:00"/>
    <x v="2"/>
    <n v="4"/>
    <x v="0"/>
    <x v="0"/>
  </r>
  <r>
    <x v="315"/>
    <x v="207"/>
    <x v="5"/>
    <s v="Operations Coordinator"/>
    <x v="0"/>
    <d v="2019-03-31T00:00:00"/>
    <x v="54"/>
    <n v="4"/>
    <x v="0"/>
    <x v="3"/>
  </r>
  <r>
    <x v="316"/>
    <x v="260"/>
    <x v="5"/>
    <s v="Operations Supervisor"/>
    <x v="0"/>
    <d v="2021-11-03T00:00:00"/>
    <x v="58"/>
    <n v="3"/>
    <x v="2"/>
    <x v="0"/>
  </r>
  <r>
    <x v="317"/>
    <x v="261"/>
    <x v="3"/>
    <s v="HR Operations Specialist"/>
    <x v="0"/>
    <d v="2022-08-15T00:00:00"/>
    <x v="59"/>
    <n v="5"/>
    <x v="0"/>
    <x v="4"/>
  </r>
  <r>
    <x v="318"/>
    <x v="262"/>
    <x v="2"/>
    <s v="Sales Analyst"/>
    <x v="0"/>
    <d v="2022-10-10T00:00:00"/>
    <x v="48"/>
    <n v="4"/>
    <x v="0"/>
    <x v="2"/>
  </r>
  <r>
    <x v="319"/>
    <x v="263"/>
    <x v="3"/>
    <s v="HR Specialist"/>
    <x v="0"/>
    <d v="2024-01-01T00:00:00"/>
    <x v="100"/>
    <n v="3"/>
    <x v="0"/>
    <x v="0"/>
  </r>
  <r>
    <x v="320"/>
    <x v="10"/>
    <x v="2"/>
    <s v="Account Executive"/>
    <x v="0"/>
    <d v="2017-01-24T00:00:00"/>
    <x v="31"/>
    <n v="5"/>
    <x v="0"/>
    <x v="3"/>
  </r>
  <r>
    <x v="321"/>
    <x v="264"/>
    <x v="2"/>
    <s v="Sales Representative"/>
    <x v="1"/>
    <d v="2019-05-01T00:00:00"/>
    <x v="43"/>
    <n v="3"/>
    <x v="0"/>
    <x v="0"/>
  </r>
  <r>
    <x v="322"/>
    <x v="265"/>
    <x v="2"/>
    <s v="Account Executive"/>
    <x v="0"/>
    <d v="2020-11-19T00:00:00"/>
    <x v="2"/>
    <n v="2"/>
    <x v="0"/>
    <x v="2"/>
  </r>
  <r>
    <x v="323"/>
    <x v="6"/>
    <x v="2"/>
    <s v="Sales Analyst"/>
    <x v="0"/>
    <d v="2018-06-15T00:00:00"/>
    <x v="14"/>
    <n v="3"/>
    <x v="0"/>
    <x v="0"/>
  </r>
  <r>
    <x v="324"/>
    <x v="113"/>
    <x v="1"/>
    <s v="Quality Analyst"/>
    <x v="1"/>
    <d v="2018-07-09T00:00:00"/>
    <x v="17"/>
    <n v="5"/>
    <x v="0"/>
    <x v="3"/>
  </r>
  <r>
    <x v="325"/>
    <x v="266"/>
    <x v="6"/>
    <s v="Data Analyst"/>
    <x v="1"/>
    <d v="2021-10-24T00:00:00"/>
    <x v="25"/>
    <n v="5"/>
    <x v="0"/>
    <x v="4"/>
  </r>
  <r>
    <x v="326"/>
    <x v="267"/>
    <x v="0"/>
    <s v="Financial Analyst"/>
    <x v="1"/>
    <d v="2022-08-27T00:00:00"/>
    <x v="56"/>
    <n v="4"/>
    <x v="0"/>
    <x v="1"/>
  </r>
  <r>
    <x v="327"/>
    <x v="268"/>
    <x v="6"/>
    <s v="Data Analyst"/>
    <x v="1"/>
    <d v="2025-01-22T00:00:00"/>
    <x v="10"/>
    <n v="3"/>
    <x v="0"/>
    <x v="2"/>
  </r>
  <r>
    <x v="328"/>
    <x v="269"/>
    <x v="0"/>
    <s v="Accountant"/>
    <x v="0"/>
    <d v="2024-08-10T00:00:00"/>
    <x v="38"/>
    <n v="4"/>
    <x v="0"/>
    <x v="0"/>
  </r>
  <r>
    <x v="329"/>
    <x v="270"/>
    <x v="7"/>
    <s v="Digital Marketing Specialist"/>
    <x v="0"/>
    <d v="2025-12-29T00:00:00"/>
    <x v="15"/>
    <n v="3"/>
    <x v="0"/>
    <x v="2"/>
  </r>
  <r>
    <x v="330"/>
    <x v="271"/>
    <x v="5"/>
    <s v="Operations Specialist"/>
    <x v="1"/>
    <d v="2019-01-05T00:00:00"/>
    <x v="98"/>
    <n v="2"/>
    <x v="2"/>
    <x v="0"/>
  </r>
  <r>
    <x v="331"/>
    <x v="215"/>
    <x v="3"/>
    <s v="HR Specialist"/>
    <x v="1"/>
    <d v="2024-12-24T00:00:00"/>
    <x v="46"/>
    <n v="3"/>
    <x v="0"/>
    <x v="3"/>
  </r>
  <r>
    <x v="332"/>
    <x v="272"/>
    <x v="0"/>
    <s v="Accounting Assistant"/>
    <x v="1"/>
    <d v="2014-03-06T00:00:00"/>
    <x v="100"/>
    <n v="2"/>
    <x v="0"/>
    <x v="0"/>
  </r>
  <r>
    <x v="333"/>
    <x v="165"/>
    <x v="2"/>
    <s v="Account Executive"/>
    <x v="0"/>
    <d v="2019-06-13T00:00:00"/>
    <x v="22"/>
    <n v="4"/>
    <x v="0"/>
    <x v="0"/>
  </r>
  <r>
    <x v="334"/>
    <x v="255"/>
    <x v="4"/>
    <s v="Office Coordinator"/>
    <x v="1"/>
    <d v="2026-07-11T00:00:00"/>
    <x v="118"/>
    <n v="1"/>
    <x v="2"/>
    <x v="1"/>
  </r>
  <r>
    <x v="335"/>
    <x v="273"/>
    <x v="1"/>
    <s v="Customer Service Agent"/>
    <x v="1"/>
    <d v="2018-11-24T00:00:00"/>
    <x v="114"/>
    <n v="3"/>
    <x v="0"/>
    <x v="4"/>
  </r>
  <r>
    <x v="336"/>
    <x v="71"/>
    <x v="2"/>
    <s v="Account Executive"/>
    <x v="0"/>
    <d v="2016-10-07T00:00:00"/>
    <x v="95"/>
    <n v="3"/>
    <x v="0"/>
    <x v="0"/>
  </r>
  <r>
    <x v="337"/>
    <x v="103"/>
    <x v="5"/>
    <s v="Operations Coordinator"/>
    <x v="0"/>
    <d v="2018-11-20T00:00:00"/>
    <x v="103"/>
    <n v="3"/>
    <x v="0"/>
    <x v="0"/>
  </r>
  <r>
    <x v="338"/>
    <x v="274"/>
    <x v="1"/>
    <s v="Customer Service Agent"/>
    <x v="1"/>
    <d v="2017-07-16T00:00:00"/>
    <x v="119"/>
    <n v="3"/>
    <x v="0"/>
    <x v="2"/>
  </r>
  <r>
    <x v="339"/>
    <x v="275"/>
    <x v="5"/>
    <s v="Operations Supervisor"/>
    <x v="0"/>
    <d v="2022-10-29T00:00:00"/>
    <x v="20"/>
    <n v="4"/>
    <x v="0"/>
    <x v="2"/>
  </r>
  <r>
    <x v="340"/>
    <x v="276"/>
    <x v="7"/>
    <s v="Marketing Coordinator"/>
    <x v="0"/>
    <d v="2016-03-24T00:00:00"/>
    <x v="73"/>
    <n v="5"/>
    <x v="0"/>
    <x v="4"/>
  </r>
  <r>
    <x v="341"/>
    <x v="277"/>
    <x v="5"/>
    <s v="Operations Analyst"/>
    <x v="0"/>
    <d v="2025-11-22T00:00:00"/>
    <x v="46"/>
    <n v="4"/>
    <x v="0"/>
    <x v="0"/>
  </r>
  <r>
    <x v="342"/>
    <x v="278"/>
    <x v="7"/>
    <s v="Digital Marketing Specialist"/>
    <x v="0"/>
    <d v="2017-11-18T00:00:00"/>
    <x v="65"/>
    <n v="3"/>
    <x v="0"/>
    <x v="2"/>
  </r>
  <r>
    <x v="343"/>
    <x v="279"/>
    <x v="5"/>
    <s v="Operations Specialist"/>
    <x v="1"/>
    <d v="2019-06-24T00:00:00"/>
    <x v="44"/>
    <n v="3"/>
    <x v="0"/>
    <x v="2"/>
  </r>
  <r>
    <x v="344"/>
    <x v="280"/>
    <x v="2"/>
    <s v="Key Account Manager"/>
    <x v="0"/>
    <d v="2014-11-10T00:00:00"/>
    <x v="29"/>
    <n v="3"/>
    <x v="2"/>
    <x v="0"/>
  </r>
  <r>
    <x v="345"/>
    <x v="281"/>
    <x v="7"/>
    <s v="Digital Marketing Specialist"/>
    <x v="0"/>
    <d v="2019-06-07T00:00:00"/>
    <x v="14"/>
    <n v="2"/>
    <x v="0"/>
    <x v="2"/>
  </r>
  <r>
    <x v="346"/>
    <x v="282"/>
    <x v="7"/>
    <s v="Marketing Analyst"/>
    <x v="0"/>
    <d v="2021-04-08T00:00:00"/>
    <x v="13"/>
    <n v="2"/>
    <x v="0"/>
    <x v="4"/>
  </r>
  <r>
    <x v="347"/>
    <x v="90"/>
    <x v="0"/>
    <s v="Accountant"/>
    <x v="0"/>
    <d v="2020-03-22T00:00:00"/>
    <x v="38"/>
    <n v="3"/>
    <x v="0"/>
    <x v="2"/>
  </r>
  <r>
    <x v="348"/>
    <x v="139"/>
    <x v="3"/>
    <s v="HR Specialist"/>
    <x v="0"/>
    <d v="2024-01-13T00:00:00"/>
    <x v="56"/>
    <n v="4"/>
    <x v="0"/>
    <x v="2"/>
  </r>
  <r>
    <x v="349"/>
    <x v="283"/>
    <x v="1"/>
    <s v="Customer Support Specialist"/>
    <x v="0"/>
    <d v="2015-06-12T00:00:00"/>
    <x v="79"/>
    <n v="4"/>
    <x v="1"/>
    <x v="1"/>
  </r>
  <r>
    <x v="350"/>
    <x v="284"/>
    <x v="2"/>
    <s v="Account Executive"/>
    <x v="1"/>
    <d v="2017-09-18T00:00:00"/>
    <x v="118"/>
    <n v="4"/>
    <x v="0"/>
    <x v="1"/>
  </r>
  <r>
    <x v="351"/>
    <x v="285"/>
    <x v="6"/>
    <s v="Data Analyst"/>
    <x v="1"/>
    <d v="2015-10-11T00:00:00"/>
    <x v="120"/>
    <n v="5"/>
    <x v="0"/>
    <x v="0"/>
  </r>
  <r>
    <x v="352"/>
    <x v="51"/>
    <x v="1"/>
    <s v="Customer Service Manager"/>
    <x v="0"/>
    <d v="2015-12-08T00:00:00"/>
    <x v="121"/>
    <n v="3"/>
    <x v="0"/>
    <x v="0"/>
  </r>
  <r>
    <x v="353"/>
    <x v="286"/>
    <x v="5"/>
    <s v="Operations Specialist"/>
    <x v="0"/>
    <d v="2015-01-04T00:00:00"/>
    <x v="16"/>
    <n v="3"/>
    <x v="2"/>
    <x v="0"/>
  </r>
  <r>
    <x v="354"/>
    <x v="287"/>
    <x v="7"/>
    <s v="Digital Marketing Specialist"/>
    <x v="1"/>
    <d v="2019-10-01T00:00:00"/>
    <x v="91"/>
    <n v="5"/>
    <x v="1"/>
    <x v="4"/>
  </r>
  <r>
    <x v="355"/>
    <x v="112"/>
    <x v="6"/>
    <s v="IT Support"/>
    <x v="0"/>
    <d v="2022-07-18T00:00:00"/>
    <x v="38"/>
    <n v="5"/>
    <x v="0"/>
    <x v="0"/>
  </r>
  <r>
    <x v="356"/>
    <x v="288"/>
    <x v="3"/>
    <s v="HR Specialist"/>
    <x v="0"/>
    <d v="2016-08-15T00:00:00"/>
    <x v="36"/>
    <n v="4"/>
    <x v="0"/>
    <x v="0"/>
  </r>
  <r>
    <x v="357"/>
    <x v="289"/>
    <x v="0"/>
    <s v="Financial Analyst"/>
    <x v="1"/>
    <d v="2024-09-03T00:00:00"/>
    <x v="44"/>
    <n v="5"/>
    <x v="1"/>
    <x v="2"/>
  </r>
  <r>
    <x v="358"/>
    <x v="290"/>
    <x v="0"/>
    <s v="Senior Accountant"/>
    <x v="0"/>
    <d v="2020-07-31T00:00:00"/>
    <x v="122"/>
    <n v="3"/>
    <x v="0"/>
    <x v="4"/>
  </r>
  <r>
    <x v="359"/>
    <x v="291"/>
    <x v="2"/>
    <s v="Sales Representative"/>
    <x v="1"/>
    <d v="2024-05-08T00:00:00"/>
    <x v="36"/>
    <n v="3"/>
    <x v="0"/>
    <x v="0"/>
  </r>
  <r>
    <x v="360"/>
    <x v="292"/>
    <x v="5"/>
    <s v="Operations Supervisor"/>
    <x v="0"/>
    <d v="2021-06-24T00:00:00"/>
    <x v="14"/>
    <n v="3"/>
    <x v="0"/>
    <x v="0"/>
  </r>
  <r>
    <x v="361"/>
    <x v="293"/>
    <x v="1"/>
    <s v="Team Leader"/>
    <x v="0"/>
    <d v="2017-08-31T00:00:00"/>
    <x v="87"/>
    <n v="3"/>
    <x v="0"/>
    <x v="2"/>
  </r>
  <r>
    <x v="362"/>
    <x v="208"/>
    <x v="0"/>
    <s v="Accountant"/>
    <x v="0"/>
    <d v="2014-05-01T00:00:00"/>
    <x v="73"/>
    <n v="3"/>
    <x v="0"/>
    <x v="4"/>
  </r>
  <r>
    <x v="363"/>
    <x v="294"/>
    <x v="1"/>
    <s v="Customer Support Specialist"/>
    <x v="0"/>
    <d v="2019-06-16T00:00:00"/>
    <x v="100"/>
    <n v="4"/>
    <x v="0"/>
    <x v="0"/>
  </r>
  <r>
    <x v="364"/>
    <x v="295"/>
    <x v="4"/>
    <s v="Office Coordinator"/>
    <x v="0"/>
    <d v="2025-06-04T00:00:00"/>
    <x v="51"/>
    <n v="3"/>
    <x v="0"/>
    <x v="4"/>
  </r>
  <r>
    <x v="365"/>
    <x v="167"/>
    <x v="2"/>
    <s v="Account Executive"/>
    <x v="1"/>
    <d v="2021-07-15T00:00:00"/>
    <x v="47"/>
    <n v="5"/>
    <x v="0"/>
    <x v="0"/>
  </r>
  <r>
    <x v="366"/>
    <x v="231"/>
    <x v="1"/>
    <s v="Quality Analyst"/>
    <x v="0"/>
    <d v="2014-03-15T00:00:00"/>
    <x v="3"/>
    <n v="5"/>
    <x v="0"/>
    <x v="2"/>
  </r>
  <r>
    <x v="367"/>
    <x v="80"/>
    <x v="6"/>
    <s v="Data Analyst"/>
    <x v="0"/>
    <d v="2014-08-31T00:00:00"/>
    <x v="90"/>
    <n v="5"/>
    <x v="0"/>
    <x v="2"/>
  </r>
  <r>
    <x v="368"/>
    <x v="296"/>
    <x v="0"/>
    <s v="Accounting Assistant"/>
    <x v="0"/>
    <d v="2015-07-10T00:00:00"/>
    <x v="54"/>
    <n v="3"/>
    <x v="0"/>
    <x v="0"/>
  </r>
  <r>
    <x v="369"/>
    <x v="297"/>
    <x v="0"/>
    <s v="Accountant"/>
    <x v="0"/>
    <d v="2018-06-02T00:00:00"/>
    <x v="91"/>
    <n v="5"/>
    <x v="2"/>
    <x v="0"/>
  </r>
  <r>
    <x v="370"/>
    <x v="298"/>
    <x v="6"/>
    <s v="Data Analyst"/>
    <x v="0"/>
    <d v="2014-08-09T00:00:00"/>
    <x v="5"/>
    <n v="4"/>
    <x v="2"/>
    <x v="2"/>
  </r>
  <r>
    <x v="371"/>
    <x v="299"/>
    <x v="0"/>
    <s v="Financial Analyst"/>
    <x v="1"/>
    <d v="2026-01-26T00:00:00"/>
    <x v="4"/>
    <n v="3"/>
    <x v="0"/>
    <x v="0"/>
  </r>
  <r>
    <x v="372"/>
    <x v="300"/>
    <x v="6"/>
    <s v="Systems Administrator"/>
    <x v="0"/>
    <d v="2014-06-12T00:00:00"/>
    <x v="86"/>
    <n v="3"/>
    <x v="0"/>
    <x v="4"/>
  </r>
  <r>
    <x v="373"/>
    <x v="301"/>
    <x v="4"/>
    <s v="Office Coordinator"/>
    <x v="0"/>
    <d v="2025-05-17T00:00:00"/>
    <x v="80"/>
    <n v="3"/>
    <x v="0"/>
    <x v="1"/>
  </r>
  <r>
    <x v="374"/>
    <x v="302"/>
    <x v="5"/>
    <s v="Operations Analyst"/>
    <x v="1"/>
    <d v="2018-11-10T00:00:00"/>
    <x v="56"/>
    <n v="3"/>
    <x v="2"/>
    <x v="0"/>
  </r>
  <r>
    <x v="375"/>
    <x v="303"/>
    <x v="3"/>
    <s v="HR Operations Specialist"/>
    <x v="0"/>
    <d v="2015-10-07T00:00:00"/>
    <x v="44"/>
    <n v="4"/>
    <x v="0"/>
    <x v="0"/>
  </r>
  <r>
    <x v="376"/>
    <x v="304"/>
    <x v="3"/>
    <s v="HR Operations Specialist"/>
    <x v="1"/>
    <d v="2022-07-28T00:00:00"/>
    <x v="17"/>
    <n v="5"/>
    <x v="0"/>
    <x v="0"/>
  </r>
  <r>
    <x v="377"/>
    <x v="52"/>
    <x v="5"/>
    <s v="Operations Analyst"/>
    <x v="0"/>
    <d v="2015-05-07T00:00:00"/>
    <x v="70"/>
    <n v="2"/>
    <x v="0"/>
    <x v="0"/>
  </r>
  <r>
    <x v="378"/>
    <x v="305"/>
    <x v="6"/>
    <s v="Systems Administrator"/>
    <x v="0"/>
    <d v="2014-01-18T00:00:00"/>
    <x v="94"/>
    <n v="1"/>
    <x v="0"/>
    <x v="4"/>
  </r>
  <r>
    <x v="379"/>
    <x v="306"/>
    <x v="5"/>
    <s v="Operations Coordinator"/>
    <x v="0"/>
    <d v="2026-03-01T00:00:00"/>
    <x v="1"/>
    <n v="4"/>
    <x v="0"/>
    <x v="1"/>
  </r>
  <r>
    <x v="380"/>
    <x v="307"/>
    <x v="7"/>
    <s v="Marketing Analyst"/>
    <x v="0"/>
    <d v="2023-06-15T00:00:00"/>
    <x v="10"/>
    <n v="4"/>
    <x v="0"/>
    <x v="1"/>
  </r>
  <r>
    <x v="381"/>
    <x v="308"/>
    <x v="4"/>
    <s v="Executive Secretary"/>
    <x v="0"/>
    <d v="2016-01-14T00:00:00"/>
    <x v="103"/>
    <n v="5"/>
    <x v="2"/>
    <x v="0"/>
  </r>
  <r>
    <x v="382"/>
    <x v="309"/>
    <x v="7"/>
    <s v="Content Specialist"/>
    <x v="0"/>
    <d v="2019-11-13T00:00:00"/>
    <x v="45"/>
    <n v="4"/>
    <x v="0"/>
    <x v="2"/>
  </r>
  <r>
    <x v="383"/>
    <x v="310"/>
    <x v="0"/>
    <s v="Accounting Assistant"/>
    <x v="1"/>
    <d v="2018-05-20T00:00:00"/>
    <x v="89"/>
    <n v="4"/>
    <x v="0"/>
    <x v="0"/>
  </r>
  <r>
    <x v="384"/>
    <x v="311"/>
    <x v="3"/>
    <s v="HR Specialist"/>
    <x v="1"/>
    <d v="2014-07-29T00:00:00"/>
    <x v="103"/>
    <n v="5"/>
    <x v="0"/>
    <x v="2"/>
  </r>
  <r>
    <x v="385"/>
    <x v="238"/>
    <x v="5"/>
    <s v="Operations Coordinator"/>
    <x v="0"/>
    <d v="2026-05-06T00:00:00"/>
    <x v="27"/>
    <n v="3"/>
    <x v="0"/>
    <x v="0"/>
  </r>
  <r>
    <x v="386"/>
    <x v="312"/>
    <x v="7"/>
    <s v="Marketing Coordinator"/>
    <x v="1"/>
    <d v="2015-02-09T00:00:00"/>
    <x v="0"/>
    <n v="3"/>
    <x v="0"/>
    <x v="3"/>
  </r>
  <r>
    <x v="387"/>
    <x v="173"/>
    <x v="6"/>
    <s v="IT Support"/>
    <x v="0"/>
    <d v="2014-01-03T00:00:00"/>
    <x v="73"/>
    <n v="1"/>
    <x v="0"/>
    <x v="0"/>
  </r>
  <r>
    <x v="388"/>
    <x v="313"/>
    <x v="1"/>
    <s v="Team Leader"/>
    <x v="0"/>
    <d v="2021-01-10T00:00:00"/>
    <x v="11"/>
    <n v="4"/>
    <x v="0"/>
    <x v="0"/>
  </r>
  <r>
    <x v="389"/>
    <x v="314"/>
    <x v="3"/>
    <s v="HR Operations Specialist"/>
    <x v="1"/>
    <d v="2021-09-15T00:00:00"/>
    <x v="64"/>
    <n v="3"/>
    <x v="0"/>
    <x v="0"/>
  </r>
  <r>
    <x v="390"/>
    <x v="315"/>
    <x v="4"/>
    <s v="Administration Manager"/>
    <x v="0"/>
    <d v="2020-09-15T00:00:00"/>
    <x v="123"/>
    <n v="3"/>
    <x v="0"/>
    <x v="0"/>
  </r>
  <r>
    <x v="391"/>
    <x v="222"/>
    <x v="5"/>
    <s v="Operations Analyst"/>
    <x v="0"/>
    <d v="2017-01-31T00:00:00"/>
    <x v="45"/>
    <n v="2"/>
    <x v="0"/>
    <x v="2"/>
  </r>
  <r>
    <x v="392"/>
    <x v="316"/>
    <x v="6"/>
    <s v="Data Analyst"/>
    <x v="1"/>
    <d v="2023-01-08T00:00:00"/>
    <x v="124"/>
    <n v="4"/>
    <x v="0"/>
    <x v="2"/>
  </r>
  <r>
    <x v="393"/>
    <x v="317"/>
    <x v="5"/>
    <s v="Operations Coordinator"/>
    <x v="1"/>
    <d v="2017-06-26T00:00:00"/>
    <x v="92"/>
    <n v="3"/>
    <x v="0"/>
    <x v="0"/>
  </r>
  <r>
    <x v="394"/>
    <x v="318"/>
    <x v="3"/>
    <s v="HR Operations Specialist"/>
    <x v="0"/>
    <d v="2022-03-17T00:00:00"/>
    <x v="12"/>
    <n v="4"/>
    <x v="0"/>
    <x v="0"/>
  </r>
  <r>
    <x v="395"/>
    <x v="319"/>
    <x v="3"/>
    <s v="HR Supervisor"/>
    <x v="0"/>
    <d v="2015-07-09T00:00:00"/>
    <x v="125"/>
    <n v="2"/>
    <x v="0"/>
    <x v="0"/>
  </r>
  <r>
    <x v="396"/>
    <x v="320"/>
    <x v="1"/>
    <s v="Quality Analyst"/>
    <x v="0"/>
    <d v="2014-08-24T00:00:00"/>
    <x v="33"/>
    <n v="3"/>
    <x v="0"/>
    <x v="2"/>
  </r>
  <r>
    <x v="397"/>
    <x v="321"/>
    <x v="5"/>
    <s v="Operations Coordinator"/>
    <x v="0"/>
    <d v="2026-03-02T00:00:00"/>
    <x v="61"/>
    <n v="3"/>
    <x v="0"/>
    <x v="2"/>
  </r>
  <r>
    <x v="398"/>
    <x v="322"/>
    <x v="6"/>
    <s v="Systems Administrator"/>
    <x v="0"/>
    <d v="2025-07-02T00:00:00"/>
    <x v="15"/>
    <n v="2"/>
    <x v="0"/>
    <x v="0"/>
  </r>
  <r>
    <x v="399"/>
    <x v="323"/>
    <x v="0"/>
    <s v="Accounting Assistant"/>
    <x v="0"/>
    <d v="2025-10-20T00:00:00"/>
    <x v="36"/>
    <n v="4"/>
    <x v="0"/>
    <x v="0"/>
  </r>
  <r>
    <x v="400"/>
    <x v="324"/>
    <x v="2"/>
    <s v="Account Executive"/>
    <x v="0"/>
    <d v="2021-09-18T00:00:00"/>
    <x v="11"/>
    <n v="3"/>
    <x v="0"/>
    <x v="2"/>
  </r>
  <r>
    <x v="401"/>
    <x v="204"/>
    <x v="2"/>
    <s v="Key Account Manager"/>
    <x v="1"/>
    <d v="2021-02-27T00:00:00"/>
    <x v="126"/>
    <n v="5"/>
    <x v="0"/>
    <x v="4"/>
  </r>
  <r>
    <x v="402"/>
    <x v="325"/>
    <x v="6"/>
    <s v="IT Manager"/>
    <x v="1"/>
    <d v="2015-12-10T00:00:00"/>
    <x v="127"/>
    <n v="4"/>
    <x v="0"/>
    <x v="1"/>
  </r>
  <r>
    <x v="403"/>
    <x v="206"/>
    <x v="4"/>
    <s v="Administrative Supervisor"/>
    <x v="1"/>
    <d v="2014-06-12T00:00:00"/>
    <x v="24"/>
    <n v="3"/>
    <x v="2"/>
    <x v="0"/>
  </r>
  <r>
    <x v="404"/>
    <x v="326"/>
    <x v="5"/>
    <s v="Operations Analyst"/>
    <x v="1"/>
    <d v="2023-09-06T00:00:00"/>
    <x v="128"/>
    <n v="4"/>
    <x v="0"/>
    <x v="0"/>
  </r>
  <r>
    <x v="405"/>
    <x v="327"/>
    <x v="7"/>
    <s v="Marketing Coordinator"/>
    <x v="0"/>
    <d v="2022-10-31T00:00:00"/>
    <x v="1"/>
    <n v="3"/>
    <x v="0"/>
    <x v="2"/>
  </r>
  <r>
    <x v="406"/>
    <x v="328"/>
    <x v="4"/>
    <s v="Office Coordinator"/>
    <x v="1"/>
    <d v="2016-09-27T00:00:00"/>
    <x v="30"/>
    <n v="2"/>
    <x v="0"/>
    <x v="0"/>
  </r>
  <r>
    <x v="407"/>
    <x v="329"/>
    <x v="7"/>
    <s v="Content Specialist"/>
    <x v="0"/>
    <d v="2026-06-19T00:00:00"/>
    <x v="56"/>
    <n v="4"/>
    <x v="0"/>
    <x v="2"/>
  </r>
  <r>
    <x v="408"/>
    <x v="330"/>
    <x v="6"/>
    <s v="Data Analyst"/>
    <x v="0"/>
    <d v="2016-03-10T00:00:00"/>
    <x v="32"/>
    <n v="3"/>
    <x v="0"/>
    <x v="1"/>
  </r>
  <r>
    <x v="409"/>
    <x v="331"/>
    <x v="5"/>
    <s v="Operations Analyst"/>
    <x v="1"/>
    <d v="2023-01-03T00:00:00"/>
    <x v="33"/>
    <n v="3"/>
    <x v="0"/>
    <x v="2"/>
  </r>
  <r>
    <x v="410"/>
    <x v="332"/>
    <x v="3"/>
    <s v="HR Specialist"/>
    <x v="0"/>
    <d v="2020-10-24T00:00:00"/>
    <x v="46"/>
    <n v="3"/>
    <x v="0"/>
    <x v="1"/>
  </r>
  <r>
    <x v="411"/>
    <x v="333"/>
    <x v="4"/>
    <s v="Administrative Supervisor"/>
    <x v="0"/>
    <d v="2017-03-10T00:00:00"/>
    <x v="99"/>
    <n v="2"/>
    <x v="2"/>
    <x v="2"/>
  </r>
  <r>
    <x v="412"/>
    <x v="35"/>
    <x v="5"/>
    <s v="Operations Specialist"/>
    <x v="1"/>
    <d v="2018-11-15T00:00:00"/>
    <x v="86"/>
    <n v="4"/>
    <x v="0"/>
    <x v="2"/>
  </r>
  <r>
    <x v="413"/>
    <x v="185"/>
    <x v="2"/>
    <s v="Sales Representative"/>
    <x v="0"/>
    <d v="2019-07-28T00:00:00"/>
    <x v="108"/>
    <n v="2"/>
    <x v="0"/>
    <x v="2"/>
  </r>
  <r>
    <x v="414"/>
    <x v="28"/>
    <x v="5"/>
    <s v="Operations Specialist"/>
    <x v="1"/>
    <d v="2026-02-08T00:00:00"/>
    <x v="98"/>
    <n v="3"/>
    <x v="2"/>
    <x v="0"/>
  </r>
  <r>
    <x v="415"/>
    <x v="334"/>
    <x v="5"/>
    <s v="Operations Coordinator"/>
    <x v="0"/>
    <d v="2016-05-31T00:00:00"/>
    <x v="66"/>
    <n v="2"/>
    <x v="2"/>
    <x v="0"/>
  </r>
  <r>
    <x v="416"/>
    <x v="335"/>
    <x v="1"/>
    <s v="Quality Analyst"/>
    <x v="1"/>
    <d v="2014-01-11T00:00:00"/>
    <x v="66"/>
    <n v="2"/>
    <x v="1"/>
    <x v="4"/>
  </r>
  <r>
    <x v="417"/>
    <x v="336"/>
    <x v="3"/>
    <s v="HR Specialist"/>
    <x v="0"/>
    <d v="2025-04-21T00:00:00"/>
    <x v="30"/>
    <n v="4"/>
    <x v="0"/>
    <x v="2"/>
  </r>
  <r>
    <x v="418"/>
    <x v="337"/>
    <x v="7"/>
    <s v="Content Specialist"/>
    <x v="1"/>
    <d v="2021-07-17T00:00:00"/>
    <x v="11"/>
    <n v="4"/>
    <x v="0"/>
    <x v="2"/>
  </r>
  <r>
    <x v="419"/>
    <x v="81"/>
    <x v="5"/>
    <s v="Operations Analyst"/>
    <x v="0"/>
    <d v="2024-11-02T00:00:00"/>
    <x v="129"/>
    <n v="4"/>
    <x v="0"/>
    <x v="0"/>
  </r>
  <r>
    <x v="420"/>
    <x v="338"/>
    <x v="3"/>
    <s v="HR Assistant"/>
    <x v="0"/>
    <d v="2014-01-12T00:00:00"/>
    <x v="100"/>
    <n v="3"/>
    <x v="0"/>
    <x v="2"/>
  </r>
  <r>
    <x v="421"/>
    <x v="339"/>
    <x v="0"/>
    <s v="Accountant"/>
    <x v="0"/>
    <d v="2019-04-24T00:00:00"/>
    <x v="95"/>
    <n v="3"/>
    <x v="0"/>
    <x v="4"/>
  </r>
  <r>
    <x v="422"/>
    <x v="340"/>
    <x v="5"/>
    <s v="Operations Specialist"/>
    <x v="0"/>
    <d v="2016-04-30T00:00:00"/>
    <x v="36"/>
    <n v="3"/>
    <x v="0"/>
    <x v="0"/>
  </r>
  <r>
    <x v="423"/>
    <x v="341"/>
    <x v="1"/>
    <s v="Customer Service Agent"/>
    <x v="1"/>
    <d v="2025-11-29T00:00:00"/>
    <x v="88"/>
    <n v="4"/>
    <x v="0"/>
    <x v="4"/>
  </r>
  <r>
    <x v="424"/>
    <x v="55"/>
    <x v="1"/>
    <s v="Quality Analyst"/>
    <x v="0"/>
    <d v="2020-05-08T00:00:00"/>
    <x v="47"/>
    <n v="1"/>
    <x v="0"/>
    <x v="2"/>
  </r>
  <r>
    <x v="425"/>
    <x v="151"/>
    <x v="4"/>
    <s v="Executive Secretary"/>
    <x v="0"/>
    <d v="2021-04-13T00:00:00"/>
    <x v="91"/>
    <n v="4"/>
    <x v="2"/>
    <x v="2"/>
  </r>
  <r>
    <x v="426"/>
    <x v="82"/>
    <x v="7"/>
    <s v="Content Specialist"/>
    <x v="0"/>
    <d v="2023-11-24T00:00:00"/>
    <x v="8"/>
    <n v="3"/>
    <x v="0"/>
    <x v="0"/>
  </r>
  <r>
    <x v="427"/>
    <x v="342"/>
    <x v="4"/>
    <s v="Administration Manager"/>
    <x v="0"/>
    <d v="2017-08-31T00:00:00"/>
    <x v="123"/>
    <n v="4"/>
    <x v="0"/>
    <x v="0"/>
  </r>
  <r>
    <x v="428"/>
    <x v="278"/>
    <x v="5"/>
    <s v="Operations Supervisor"/>
    <x v="0"/>
    <d v="2022-07-18T00:00:00"/>
    <x v="130"/>
    <n v="4"/>
    <x v="0"/>
    <x v="0"/>
  </r>
  <r>
    <x v="429"/>
    <x v="326"/>
    <x v="5"/>
    <s v="Operations Coordinator"/>
    <x v="1"/>
    <d v="2025-10-15T00:00:00"/>
    <x v="27"/>
    <n v="5"/>
    <x v="0"/>
    <x v="0"/>
  </r>
  <r>
    <x v="430"/>
    <x v="50"/>
    <x v="6"/>
    <s v="IT Support"/>
    <x v="0"/>
    <d v="2015-06-04T00:00:00"/>
    <x v="103"/>
    <n v="4"/>
    <x v="2"/>
    <x v="0"/>
  </r>
  <r>
    <x v="431"/>
    <x v="343"/>
    <x v="2"/>
    <s v="Sales Analyst"/>
    <x v="1"/>
    <d v="2021-01-04T00:00:00"/>
    <x v="8"/>
    <n v="3"/>
    <x v="0"/>
    <x v="0"/>
  </r>
  <r>
    <x v="432"/>
    <x v="153"/>
    <x v="7"/>
    <s v="Marketing Coordinator"/>
    <x v="0"/>
    <d v="2018-12-07T00:00:00"/>
    <x v="92"/>
    <n v="4"/>
    <x v="0"/>
    <x v="2"/>
  </r>
  <r>
    <x v="433"/>
    <x v="344"/>
    <x v="5"/>
    <s v="Operations Specialist"/>
    <x v="1"/>
    <d v="2014-01-13T00:00:00"/>
    <x v="45"/>
    <n v="4"/>
    <x v="2"/>
    <x v="0"/>
  </r>
  <r>
    <x v="434"/>
    <x v="345"/>
    <x v="5"/>
    <s v="Operations Coordinator"/>
    <x v="0"/>
    <d v="2019-07-31T00:00:00"/>
    <x v="67"/>
    <n v="3"/>
    <x v="0"/>
    <x v="0"/>
  </r>
  <r>
    <x v="435"/>
    <x v="8"/>
    <x v="0"/>
    <s v="Senior Accountant"/>
    <x v="0"/>
    <d v="2018-12-31T00:00:00"/>
    <x v="53"/>
    <n v="4"/>
    <x v="0"/>
    <x v="2"/>
  </r>
  <r>
    <x v="436"/>
    <x v="346"/>
    <x v="2"/>
    <s v="Account Executive"/>
    <x v="0"/>
    <d v="2023-11-01T00:00:00"/>
    <x v="86"/>
    <n v="3"/>
    <x v="0"/>
    <x v="4"/>
  </r>
  <r>
    <x v="437"/>
    <x v="9"/>
    <x v="3"/>
    <s v="HR Specialist"/>
    <x v="1"/>
    <d v="2018-04-03T00:00:00"/>
    <x v="31"/>
    <n v="3"/>
    <x v="0"/>
    <x v="0"/>
  </r>
  <r>
    <x v="438"/>
    <x v="129"/>
    <x v="1"/>
    <s v="Customer Support Specialist"/>
    <x v="0"/>
    <d v="2017-11-06T00:00:00"/>
    <x v="114"/>
    <n v="3"/>
    <x v="0"/>
    <x v="1"/>
  </r>
  <r>
    <x v="439"/>
    <x v="347"/>
    <x v="5"/>
    <s v="Operations Specialist"/>
    <x v="0"/>
    <d v="2020-02-13T00:00:00"/>
    <x v="2"/>
    <n v="2"/>
    <x v="0"/>
    <x v="0"/>
  </r>
  <r>
    <x v="440"/>
    <x v="134"/>
    <x v="5"/>
    <s v="Operations Supervisor"/>
    <x v="0"/>
    <d v="2020-05-03T00:00:00"/>
    <x v="62"/>
    <n v="2"/>
    <x v="0"/>
    <x v="0"/>
  </r>
  <r>
    <x v="441"/>
    <x v="228"/>
    <x v="0"/>
    <s v="Senior Accountant"/>
    <x v="0"/>
    <d v="2014-06-30T00:00:00"/>
    <x v="128"/>
    <n v="4"/>
    <x v="0"/>
    <x v="1"/>
  </r>
  <r>
    <x v="442"/>
    <x v="266"/>
    <x v="6"/>
    <s v="Software Engineer"/>
    <x v="1"/>
    <d v="2025-04-04T00:00:00"/>
    <x v="9"/>
    <n v="4"/>
    <x v="0"/>
    <x v="0"/>
  </r>
  <r>
    <x v="443"/>
    <x v="322"/>
    <x v="5"/>
    <s v="Operations Coordinator"/>
    <x v="0"/>
    <d v="2020-05-11T00:00:00"/>
    <x v="88"/>
    <n v="3"/>
    <x v="0"/>
    <x v="2"/>
  </r>
  <r>
    <x v="444"/>
    <x v="348"/>
    <x v="4"/>
    <s v="Administrative Assistant"/>
    <x v="0"/>
    <d v="2014-02-20T00:00:00"/>
    <x v="40"/>
    <n v="3"/>
    <x v="0"/>
    <x v="0"/>
  </r>
  <r>
    <x v="445"/>
    <x v="162"/>
    <x v="5"/>
    <s v="Operations Coordinator"/>
    <x v="0"/>
    <d v="2015-09-08T00:00:00"/>
    <x v="38"/>
    <n v="4"/>
    <x v="0"/>
    <x v="0"/>
  </r>
  <r>
    <x v="446"/>
    <x v="84"/>
    <x v="1"/>
    <s v="Team Leader"/>
    <x v="0"/>
    <d v="2019-04-11T00:00:00"/>
    <x v="58"/>
    <n v="2"/>
    <x v="0"/>
    <x v="2"/>
  </r>
  <r>
    <x v="447"/>
    <x v="251"/>
    <x v="6"/>
    <s v="Systems Administrator"/>
    <x v="0"/>
    <d v="2026-07-08T00:00:00"/>
    <x v="2"/>
    <n v="3"/>
    <x v="0"/>
    <x v="0"/>
  </r>
  <r>
    <x v="448"/>
    <x v="349"/>
    <x v="2"/>
    <s v="Account Executive"/>
    <x v="1"/>
    <d v="2026-07-07T00:00:00"/>
    <x v="45"/>
    <n v="3"/>
    <x v="0"/>
    <x v="4"/>
  </r>
  <r>
    <x v="449"/>
    <x v="18"/>
    <x v="2"/>
    <s v="Sales Analyst"/>
    <x v="0"/>
    <d v="2017-07-25T00:00:00"/>
    <x v="31"/>
    <n v="3"/>
    <x v="0"/>
    <x v="3"/>
  </r>
  <r>
    <x v="450"/>
    <x v="87"/>
    <x v="1"/>
    <s v="Customer Service Agent"/>
    <x v="0"/>
    <d v="2015-06-01T00:00:00"/>
    <x v="131"/>
    <n v="3"/>
    <x v="0"/>
    <x v="0"/>
  </r>
  <r>
    <x v="451"/>
    <x v="350"/>
    <x v="6"/>
    <s v="Systems Administrator"/>
    <x v="0"/>
    <d v="2017-03-08T00:00:00"/>
    <x v="112"/>
    <n v="4"/>
    <x v="0"/>
    <x v="1"/>
  </r>
  <r>
    <x v="452"/>
    <x v="351"/>
    <x v="1"/>
    <s v="Quality Analyst"/>
    <x v="0"/>
    <d v="2014-08-06T00:00:00"/>
    <x v="27"/>
    <n v="3"/>
    <x v="1"/>
    <x v="2"/>
  </r>
  <r>
    <x v="453"/>
    <x v="233"/>
    <x v="5"/>
    <s v="Operations Supervisor"/>
    <x v="1"/>
    <d v="2017-12-04T00:00:00"/>
    <x v="75"/>
    <n v="4"/>
    <x v="0"/>
    <x v="0"/>
  </r>
  <r>
    <x v="454"/>
    <x v="352"/>
    <x v="7"/>
    <s v="Marketing Manager"/>
    <x v="1"/>
    <d v="2014-05-26T00:00:00"/>
    <x v="71"/>
    <n v="4"/>
    <x v="0"/>
    <x v="2"/>
  </r>
  <r>
    <x v="455"/>
    <x v="353"/>
    <x v="0"/>
    <s v="Accountant"/>
    <x v="0"/>
    <d v="2020-06-25T00:00:00"/>
    <x v="21"/>
    <n v="3"/>
    <x v="0"/>
    <x v="0"/>
  </r>
  <r>
    <x v="456"/>
    <x v="354"/>
    <x v="5"/>
    <s v="Operations Analyst"/>
    <x v="0"/>
    <d v="2022-01-16T00:00:00"/>
    <x v="97"/>
    <n v="3"/>
    <x v="0"/>
    <x v="0"/>
  </r>
  <r>
    <x v="457"/>
    <x v="171"/>
    <x v="5"/>
    <s v="Operations Analyst"/>
    <x v="0"/>
    <d v="2019-03-13T00:00:00"/>
    <x v="2"/>
    <n v="4"/>
    <x v="0"/>
    <x v="1"/>
  </r>
  <r>
    <x v="458"/>
    <x v="355"/>
    <x v="0"/>
    <s v="Financial Analyst"/>
    <x v="1"/>
    <d v="2019-11-28T00:00:00"/>
    <x v="76"/>
    <n v="1"/>
    <x v="0"/>
    <x v="0"/>
  </r>
  <r>
    <x v="459"/>
    <x v="356"/>
    <x v="5"/>
    <s v="Operations Analyst"/>
    <x v="1"/>
    <d v="2020-04-05T00:00:00"/>
    <x v="56"/>
    <n v="4"/>
    <x v="0"/>
    <x v="4"/>
  </r>
  <r>
    <x v="460"/>
    <x v="93"/>
    <x v="5"/>
    <s v="Operations Manager"/>
    <x v="0"/>
    <d v="2014-12-24T00:00:00"/>
    <x v="132"/>
    <n v="5"/>
    <x v="0"/>
    <x v="0"/>
  </r>
  <r>
    <x v="461"/>
    <x v="93"/>
    <x v="5"/>
    <s v="Operations Specialist"/>
    <x v="0"/>
    <d v="2021-09-13T00:00:00"/>
    <x v="56"/>
    <n v="4"/>
    <x v="0"/>
    <x v="0"/>
  </r>
  <r>
    <x v="462"/>
    <x v="192"/>
    <x v="1"/>
    <s v="Customer Service Agent"/>
    <x v="0"/>
    <d v="2015-03-27T00:00:00"/>
    <x v="18"/>
    <n v="3"/>
    <x v="0"/>
    <x v="0"/>
  </r>
  <r>
    <x v="463"/>
    <x v="357"/>
    <x v="3"/>
    <s v="HR Specialist"/>
    <x v="1"/>
    <d v="2018-04-07T00:00:00"/>
    <x v="36"/>
    <n v="3"/>
    <x v="0"/>
    <x v="2"/>
  </r>
  <r>
    <x v="464"/>
    <x v="212"/>
    <x v="1"/>
    <s v="Customer Service Agent"/>
    <x v="0"/>
    <d v="2020-03-14T00:00:00"/>
    <x v="114"/>
    <n v="3"/>
    <x v="0"/>
    <x v="4"/>
  </r>
  <r>
    <x v="465"/>
    <x v="358"/>
    <x v="7"/>
    <s v="Content Specialist"/>
    <x v="0"/>
    <d v="2018-07-15T00:00:00"/>
    <x v="91"/>
    <n v="4"/>
    <x v="0"/>
    <x v="2"/>
  </r>
  <r>
    <x v="466"/>
    <x v="359"/>
    <x v="4"/>
    <s v="Office Coordinator"/>
    <x v="0"/>
    <d v="2022-11-26T00:00:00"/>
    <x v="37"/>
    <n v="5"/>
    <x v="0"/>
    <x v="1"/>
  </r>
  <r>
    <x v="467"/>
    <x v="37"/>
    <x v="5"/>
    <s v="Operations Manager"/>
    <x v="0"/>
    <d v="2018-10-20T00:00:00"/>
    <x v="133"/>
    <n v="4"/>
    <x v="0"/>
    <x v="0"/>
  </r>
  <r>
    <x v="468"/>
    <x v="206"/>
    <x v="5"/>
    <s v="Operations Coordinator"/>
    <x v="1"/>
    <d v="2023-09-19T00:00:00"/>
    <x v="40"/>
    <n v="4"/>
    <x v="0"/>
    <x v="0"/>
  </r>
  <r>
    <x v="469"/>
    <x v="309"/>
    <x v="5"/>
    <s v="Operations Specialist"/>
    <x v="0"/>
    <d v="2019-01-20T00:00:00"/>
    <x v="103"/>
    <n v="3"/>
    <x v="0"/>
    <x v="4"/>
  </r>
  <r>
    <x v="470"/>
    <x v="52"/>
    <x v="5"/>
    <s v="Operations Specialist"/>
    <x v="0"/>
    <d v="2022-02-05T00:00:00"/>
    <x v="16"/>
    <n v="3"/>
    <x v="0"/>
    <x v="4"/>
  </r>
  <r>
    <x v="471"/>
    <x v="360"/>
    <x v="6"/>
    <s v="Systems Administrator"/>
    <x v="1"/>
    <d v="2021-01-02T00:00:00"/>
    <x v="120"/>
    <n v="2"/>
    <x v="0"/>
    <x v="0"/>
  </r>
  <r>
    <x v="472"/>
    <x v="336"/>
    <x v="6"/>
    <s v="Data Analyst"/>
    <x v="0"/>
    <d v="2026-03-25T00:00:00"/>
    <x v="134"/>
    <n v="5"/>
    <x v="0"/>
    <x v="4"/>
  </r>
  <r>
    <x v="473"/>
    <x v="253"/>
    <x v="6"/>
    <s v="Software Engineer"/>
    <x v="0"/>
    <d v="2020-01-02T00:00:00"/>
    <x v="112"/>
    <n v="3"/>
    <x v="0"/>
    <x v="0"/>
  </r>
  <r>
    <x v="474"/>
    <x v="361"/>
    <x v="6"/>
    <s v="Systems Administrator"/>
    <x v="0"/>
    <d v="2023-11-22T00:00:00"/>
    <x v="70"/>
    <n v="3"/>
    <x v="0"/>
    <x v="1"/>
  </r>
  <r>
    <x v="475"/>
    <x v="151"/>
    <x v="4"/>
    <s v="Administrative Assistant"/>
    <x v="0"/>
    <d v="2016-07-23T00:00:00"/>
    <x v="37"/>
    <n v="3"/>
    <x v="0"/>
    <x v="0"/>
  </r>
  <r>
    <x v="476"/>
    <x v="362"/>
    <x v="1"/>
    <s v="Quality Analyst"/>
    <x v="1"/>
    <d v="2015-06-22T00:00:00"/>
    <x v="45"/>
    <n v="3"/>
    <x v="0"/>
    <x v="3"/>
  </r>
  <r>
    <x v="477"/>
    <x v="363"/>
    <x v="2"/>
    <s v="Key Account Manager"/>
    <x v="0"/>
    <d v="2019-01-06T00:00:00"/>
    <x v="62"/>
    <n v="3"/>
    <x v="2"/>
    <x v="1"/>
  </r>
  <r>
    <x v="478"/>
    <x v="364"/>
    <x v="4"/>
    <s v="Office Coordinator"/>
    <x v="1"/>
    <d v="2017-05-22T00:00:00"/>
    <x v="77"/>
    <n v="3"/>
    <x v="0"/>
    <x v="0"/>
  </r>
  <r>
    <x v="479"/>
    <x v="298"/>
    <x v="4"/>
    <s v="Office Coordinator"/>
    <x v="0"/>
    <d v="2014-06-26T00:00:00"/>
    <x v="18"/>
    <n v="3"/>
    <x v="0"/>
    <x v="1"/>
  </r>
  <r>
    <x v="480"/>
    <x v="365"/>
    <x v="3"/>
    <s v="HR Specialist"/>
    <x v="0"/>
    <d v="2019-06-17T00:00:00"/>
    <x v="17"/>
    <n v="4"/>
    <x v="0"/>
    <x v="2"/>
  </r>
  <r>
    <x v="481"/>
    <x v="105"/>
    <x v="0"/>
    <s v="Accountant"/>
    <x v="1"/>
    <d v="2015-03-10T00:00:00"/>
    <x v="56"/>
    <n v="3"/>
    <x v="0"/>
    <x v="4"/>
  </r>
  <r>
    <x v="482"/>
    <x v="366"/>
    <x v="4"/>
    <s v="Office Coordinator"/>
    <x v="0"/>
    <d v="2018-04-09T00:00:00"/>
    <x v="51"/>
    <n v="3"/>
    <x v="2"/>
    <x v="2"/>
  </r>
  <r>
    <x v="483"/>
    <x v="367"/>
    <x v="1"/>
    <s v="Customer Service Agent"/>
    <x v="0"/>
    <d v="2024-07-02T00:00:00"/>
    <x v="18"/>
    <n v="3"/>
    <x v="2"/>
    <x v="1"/>
  </r>
  <r>
    <x v="484"/>
    <x v="307"/>
    <x v="1"/>
    <s v="Quality Analyst"/>
    <x v="0"/>
    <d v="2015-02-14T00:00:00"/>
    <x v="48"/>
    <n v="4"/>
    <x v="0"/>
    <x v="0"/>
  </r>
  <r>
    <x v="485"/>
    <x v="368"/>
    <x v="1"/>
    <s v="Customer Support Specialist"/>
    <x v="1"/>
    <d v="2021-01-20T00:00:00"/>
    <x v="51"/>
    <n v="3"/>
    <x v="0"/>
    <x v="2"/>
  </r>
  <r>
    <x v="486"/>
    <x v="34"/>
    <x v="4"/>
    <s v="Office Coordinator"/>
    <x v="0"/>
    <d v="2017-02-19T00:00:00"/>
    <x v="79"/>
    <n v="4"/>
    <x v="0"/>
    <x v="0"/>
  </r>
  <r>
    <x v="487"/>
    <x v="140"/>
    <x v="5"/>
    <s v="Operations Specialist"/>
    <x v="0"/>
    <d v="2020-04-24T00:00:00"/>
    <x v="2"/>
    <n v="5"/>
    <x v="0"/>
    <x v="0"/>
  </r>
  <r>
    <x v="488"/>
    <x v="369"/>
    <x v="7"/>
    <s v="Marketing Analyst"/>
    <x v="0"/>
    <d v="2015-07-18T00:00:00"/>
    <x v="63"/>
    <n v="4"/>
    <x v="0"/>
    <x v="4"/>
  </r>
  <r>
    <x v="489"/>
    <x v="370"/>
    <x v="2"/>
    <s v="Key Account Manager"/>
    <x v="0"/>
    <d v="2024-03-31T00:00:00"/>
    <x v="101"/>
    <n v="4"/>
    <x v="0"/>
    <x v="2"/>
  </r>
  <r>
    <x v="490"/>
    <x v="371"/>
    <x v="0"/>
    <s v="Accountant"/>
    <x v="0"/>
    <d v="2024-09-24T00:00:00"/>
    <x v="21"/>
    <n v="4"/>
    <x v="0"/>
    <x v="4"/>
  </r>
  <r>
    <x v="491"/>
    <x v="372"/>
    <x v="3"/>
    <s v="HR Assistant"/>
    <x v="1"/>
    <d v="2014-12-27T00:00:00"/>
    <x v="77"/>
    <n v="3"/>
    <x v="0"/>
    <x v="0"/>
  </r>
  <r>
    <x v="492"/>
    <x v="12"/>
    <x v="6"/>
    <s v="IT Manager"/>
    <x v="0"/>
    <d v="2026-02-26T00:00:00"/>
    <x v="135"/>
    <n v="3"/>
    <x v="0"/>
    <x v="2"/>
  </r>
  <r>
    <x v="493"/>
    <x v="125"/>
    <x v="0"/>
    <s v="Accountant"/>
    <x v="0"/>
    <d v="2017-08-15T00:00:00"/>
    <x v="3"/>
    <n v="4"/>
    <x v="0"/>
    <x v="4"/>
  </r>
  <r>
    <x v="494"/>
    <x v="62"/>
    <x v="5"/>
    <s v="Operations Analyst"/>
    <x v="1"/>
    <d v="2019-11-30T00:00:00"/>
    <x v="60"/>
    <n v="3"/>
    <x v="0"/>
    <x v="4"/>
  </r>
  <r>
    <x v="495"/>
    <x v="114"/>
    <x v="1"/>
    <s v="Customer Service Agent"/>
    <x v="0"/>
    <d v="2023-09-24T00:00:00"/>
    <x v="67"/>
    <n v="4"/>
    <x v="0"/>
    <x v="0"/>
  </r>
  <r>
    <x v="496"/>
    <x v="356"/>
    <x v="0"/>
    <s v="Senior Accountant"/>
    <x v="1"/>
    <d v="2019-07-06T00:00:00"/>
    <x v="64"/>
    <n v="3"/>
    <x v="1"/>
    <x v="2"/>
  </r>
  <r>
    <x v="497"/>
    <x v="373"/>
    <x v="1"/>
    <s v="Customer Service Agent"/>
    <x v="1"/>
    <d v="2025-01-22T00:00:00"/>
    <x v="41"/>
    <n v="3"/>
    <x v="1"/>
    <x v="4"/>
  </r>
  <r>
    <x v="498"/>
    <x v="272"/>
    <x v="4"/>
    <s v="Administrative Assistant"/>
    <x v="1"/>
    <d v="2016-12-10T00:00:00"/>
    <x v="26"/>
    <n v="3"/>
    <x v="0"/>
    <x v="2"/>
  </r>
  <r>
    <x v="499"/>
    <x v="374"/>
    <x v="2"/>
    <s v="Key Account Manager"/>
    <x v="1"/>
    <d v="2019-02-28T00:00:00"/>
    <x v="29"/>
    <n v="1"/>
    <x v="0"/>
    <x v="2"/>
  </r>
  <r>
    <x v="500"/>
    <x v="375"/>
    <x v="8"/>
    <m/>
    <x v="2"/>
    <m/>
    <x v="136"/>
    <m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58A86-D47B-4B96-8E5E-8A1E59274317}" name="PivotTable1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10">
    <pivotField dataField="1" compact="0" outline="0" showAll="0"/>
    <pivotField compact="0" outline="0" showAll="0"/>
    <pivotField axis="axisRow" compact="0" outline="0" showAll="0" sortType="descending">
      <items count="9">
        <item x="2"/>
        <item x="5"/>
        <item x="7"/>
        <item x="6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1"/>
    </i>
    <i>
      <x v="5"/>
    </i>
    <i>
      <x v="6"/>
    </i>
    <i>
      <x v="3"/>
    </i>
    <i>
      <x/>
    </i>
    <i>
      <x v="4"/>
    </i>
    <i>
      <x v="2"/>
    </i>
    <i>
      <x v="7"/>
    </i>
    <i t="grand">
      <x/>
    </i>
  </rowItems>
  <colItems count="1">
    <i/>
  </colItems>
  <dataFields count="1">
    <dataField name="Count of Employee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383C7-453E-4DB3-81AB-DF62B3954EBE}" name="PivotTable1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I7:J16" firstHeaderRow="1" firstDataRow="1" firstDataCol="1"/>
  <pivotFields count="10">
    <pivotField compact="0" outline="0" showAll="0"/>
    <pivotField compact="0" outline="0" showAll="0"/>
    <pivotField axis="axisRow" compact="0" outline="0" showAll="0" sortType="descending">
      <items count="10">
        <item x="4"/>
        <item x="1"/>
        <item x="0"/>
        <item x="3"/>
        <item x="6"/>
        <item x="7"/>
        <item x="5"/>
        <item x="2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4"/>
    </i>
    <i>
      <x v="5"/>
    </i>
    <i>
      <x v="6"/>
    </i>
    <i>
      <x v="7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Average of Basic_Salary" fld="6" subtotal="average" baseField="0" baseItem="0" numFmtId="4"/>
  </dataFields>
  <formats count="2">
    <format dxfId="15">
      <pivotArea dataOnly="0" labelOnly="1" outline="0" axis="axisValues" fieldPosition="0"/>
    </format>
    <format dxfId="16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0FA4E-1BB7-4860-B030-4B5E64C2EA72}" name="PivotTable2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B10" firstHeaderRow="1" firstDataRow="1" firstDataCol="1"/>
  <pivotFields count="10">
    <pivotField compact="0" outline="0" showAll="0"/>
    <pivotField compact="0" outline="0" showAll="0"/>
    <pivotField axis="axisRow" compact="0" outline="0" showAll="0" sortType="descending">
      <items count="10">
        <item x="4"/>
        <item x="1"/>
        <item x="0"/>
        <item x="3"/>
        <item x="6"/>
        <item x="7"/>
        <item x="5"/>
        <item x="2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9">
    <i>
      <x v="3"/>
    </i>
    <i>
      <x/>
    </i>
    <i>
      <x v="4"/>
    </i>
    <i>
      <x v="2"/>
    </i>
    <i>
      <x v="5"/>
    </i>
    <i>
      <x v="6"/>
    </i>
    <i>
      <x v="1"/>
    </i>
    <i>
      <x v="7"/>
    </i>
    <i t="grand">
      <x/>
    </i>
  </rowItems>
  <colItems count="1">
    <i/>
  </colItems>
  <dataFields count="1">
    <dataField name="Average of Performance_Rating" fld="7" subtotal="average" baseField="0" baseItem="0" numFmtId="2"/>
  </dataFields>
  <formats count="2">
    <format dxfId="13">
      <pivotArea outline="0" collapsedLevelsAreSubtotals="1" fieldPosition="0"/>
    </format>
    <format dxfId="14">
      <pivotArea dataOnly="0" labelOnly="1" outline="0" axis="axisValues" fieldPosition="0"/>
    </format>
  </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93107-9A57-4C7D-91EF-3DD742B81628}" name="PivotTable3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5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8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formats count="1">
    <format dxfId="12">
      <pivotArea outline="0" collapsedLevelsAreSubtotals="1" fieldPosition="0"/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67A09-9699-4D70-AEBF-6AA7B1C95872}" name="PivotTable4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4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46A67-2BC3-4A63-8B22-A686DF5D60C3}" name="PivotTable5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7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4"/>
        <item x="0"/>
        <item x="3"/>
        <item x="1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91E06858-BE24-4D5C-B7D5-6A74E8F637CD}" sourceName="Department">
  <pivotTables>
    <pivotTable tabId="2" name="PivotTable1"/>
  </pivotTables>
  <data>
    <tabular pivotCacheId="1377982964">
      <items count="8">
        <i x="4" s="1"/>
        <i x="1" s="1"/>
        <i x="0" s="1"/>
        <i x="3" s="1"/>
        <i x="6" s="1"/>
        <i x="7" s="1"/>
        <i x="5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E1B98EAC-4BEA-4A72-B9AD-8AB1C56E04BE}" cache="Slicer_Department" caption="Depart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07492-C58D-4C89-AD0F-E140BA4F2854}" name="Table1" displayName="Table1" ref="A1:J501" totalsRowShown="0" headerRowDxfId="11" dataDxfId="10">
  <autoFilter ref="A1:J501" xr:uid="{90A07492-C58D-4C89-AD0F-E140BA4F2854}"/>
  <tableColumns count="10">
    <tableColumn id="1" xr3:uid="{D9BD3FBC-DD45-4F20-B578-02315A8EE74B}" name="Employee_ID" dataDxfId="9"/>
    <tableColumn id="2" xr3:uid="{B01B5FA5-511C-4418-984F-A55371C9C415}" name="Employee_Name" dataDxfId="8"/>
    <tableColumn id="3" xr3:uid="{4C1F6A27-DA8F-40A1-868F-8BDA13D8AE40}" name="Department" dataDxfId="7"/>
    <tableColumn id="4" xr3:uid="{04B37C24-8F4D-4631-8AD4-EC2AB5A2E3E2}" name="Job_Title" dataDxfId="6"/>
    <tableColumn id="5" xr3:uid="{E266226E-69A8-4653-BE7D-9F7EF879AA9B}" name="Gender" dataDxfId="5"/>
    <tableColumn id="6" xr3:uid="{6BE25114-B2F4-4733-B8D2-BD3DDEA79185}" name="Hire_Date" dataDxfId="4"/>
    <tableColumn id="7" xr3:uid="{AD2D6F66-764E-401C-AF6B-28E68B45A7FF}" name="Basic_Salary" dataDxfId="3"/>
    <tableColumn id="8" xr3:uid="{8AD718DC-DA0D-4A5B-9A66-2C08D719562E}" name="Performance_Rating" dataDxfId="2"/>
    <tableColumn id="9" xr3:uid="{2704BA40-0E19-4598-B663-156F1B53A048}" name="Employment_Status" dataDxfId="1"/>
    <tableColumn id="10" xr3:uid="{A05670F5-0BD0-4F70-97A9-C50B096CD764}" name="Work_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activeCell="L26" sqref="L26"/>
    </sheetView>
  </sheetViews>
  <sheetFormatPr defaultRowHeight="15"/>
  <cols>
    <col min="1" max="1" width="15.140625" bestFit="1" customWidth="1"/>
    <col min="2" max="2" width="21" bestFit="1" customWidth="1"/>
    <col min="3" max="3" width="22.42578125" bestFit="1" customWidth="1"/>
    <col min="4" max="4" width="26.28515625" bestFit="1" customWidth="1"/>
    <col min="5" max="5" width="10" bestFit="1" customWidth="1"/>
    <col min="6" max="6" width="12.42578125" bestFit="1" customWidth="1"/>
    <col min="7" max="7" width="14.42578125" bestFit="1" customWidth="1"/>
    <col min="8" max="8" width="22" bestFit="1" customWidth="1"/>
    <col min="9" max="9" width="21.7109375" bestFit="1" customWidth="1"/>
    <col min="10" max="10" width="17.140625" bestFit="1" customWidth="1"/>
    <col min="12" max="12" width="21.140625" bestFit="1" customWidth="1"/>
    <col min="13" max="13" width="13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44743</v>
      </c>
      <c r="G2" s="1">
        <v>6300</v>
      </c>
      <c r="H2" s="1">
        <v>5</v>
      </c>
      <c r="I2" s="1" t="s">
        <v>15</v>
      </c>
      <c r="J2" s="1" t="s">
        <v>16</v>
      </c>
      <c r="L2" t="s">
        <v>17</v>
      </c>
      <c r="M2">
        <f>COUNTIF(C2:C501,"Human Resources")</f>
        <v>55</v>
      </c>
    </row>
    <row r="3" spans="1:1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44642</v>
      </c>
      <c r="G3" s="1">
        <v>8100</v>
      </c>
      <c r="H3" s="1">
        <v>4</v>
      </c>
      <c r="I3" s="1" t="s">
        <v>15</v>
      </c>
      <c r="J3" s="1" t="s">
        <v>23</v>
      </c>
      <c r="L3" t="s">
        <v>24</v>
      </c>
      <c r="M3" s="3">
        <f>M2/500</f>
        <v>0.11</v>
      </c>
    </row>
    <row r="4" spans="1:13">
      <c r="A4" s="1" t="s">
        <v>25</v>
      </c>
      <c r="B4" s="1" t="s">
        <v>26</v>
      </c>
      <c r="C4" s="1" t="s">
        <v>27</v>
      </c>
      <c r="D4" s="1" t="s">
        <v>28</v>
      </c>
      <c r="E4" s="1" t="s">
        <v>14</v>
      </c>
      <c r="F4" s="2">
        <v>43844</v>
      </c>
      <c r="G4" s="1">
        <v>9700</v>
      </c>
      <c r="H4" s="1">
        <v>2</v>
      </c>
      <c r="I4" s="1" t="s">
        <v>15</v>
      </c>
      <c r="J4" s="1" t="s">
        <v>29</v>
      </c>
    </row>
    <row r="5" spans="1:13">
      <c r="A5" s="1" t="s">
        <v>30</v>
      </c>
      <c r="B5" s="1" t="s">
        <v>31</v>
      </c>
      <c r="C5" s="1" t="s">
        <v>12</v>
      </c>
      <c r="D5" s="1" t="s">
        <v>32</v>
      </c>
      <c r="E5" s="1" t="s">
        <v>22</v>
      </c>
      <c r="F5" s="2">
        <v>44778</v>
      </c>
      <c r="G5" s="1">
        <v>8200</v>
      </c>
      <c r="H5" s="1">
        <v>3</v>
      </c>
      <c r="I5" s="1" t="s">
        <v>15</v>
      </c>
      <c r="J5" s="1" t="s">
        <v>16</v>
      </c>
      <c r="L5" t="s">
        <v>33</v>
      </c>
      <c r="M5">
        <f>AVERAGE(G2:G501)</f>
        <v>10726</v>
      </c>
    </row>
    <row r="6" spans="1:13">
      <c r="A6" s="1" t="s">
        <v>34</v>
      </c>
      <c r="B6" s="1" t="s">
        <v>35</v>
      </c>
      <c r="C6" s="1" t="s">
        <v>36</v>
      </c>
      <c r="D6" s="1" t="s">
        <v>37</v>
      </c>
      <c r="E6" s="1" t="s">
        <v>14</v>
      </c>
      <c r="F6" s="2">
        <v>42185</v>
      </c>
      <c r="G6" s="1">
        <v>11100</v>
      </c>
      <c r="H6" s="1">
        <v>4</v>
      </c>
      <c r="I6" s="1" t="s">
        <v>15</v>
      </c>
      <c r="J6" s="1" t="s">
        <v>16</v>
      </c>
    </row>
    <row r="7" spans="1:13">
      <c r="A7" s="1" t="s">
        <v>38</v>
      </c>
      <c r="B7" s="1" t="s">
        <v>39</v>
      </c>
      <c r="C7" s="1" t="s">
        <v>27</v>
      </c>
      <c r="D7" s="1" t="s">
        <v>40</v>
      </c>
      <c r="E7" s="1" t="s">
        <v>14</v>
      </c>
      <c r="F7" s="2">
        <v>45386</v>
      </c>
      <c r="G7" s="1">
        <v>12400</v>
      </c>
      <c r="H7" s="1">
        <v>3</v>
      </c>
      <c r="I7" s="1" t="s">
        <v>15</v>
      </c>
      <c r="J7" s="1" t="s">
        <v>16</v>
      </c>
      <c r="L7" t="s">
        <v>41</v>
      </c>
      <c r="M7" s="4">
        <f>AVERAGEIF(C2:C501,"Human Resources",G2:G501)</f>
        <v>10350.90909090909</v>
      </c>
    </row>
    <row r="8" spans="1:13">
      <c r="A8" s="1" t="s">
        <v>42</v>
      </c>
      <c r="B8" s="1" t="s">
        <v>11</v>
      </c>
      <c r="C8" s="1" t="s">
        <v>27</v>
      </c>
      <c r="D8" s="1" t="s">
        <v>43</v>
      </c>
      <c r="E8" s="1" t="s">
        <v>14</v>
      </c>
      <c r="F8" s="2">
        <v>43154</v>
      </c>
      <c r="G8" s="1">
        <v>14100</v>
      </c>
      <c r="H8" s="1">
        <v>3</v>
      </c>
      <c r="I8" s="1" t="s">
        <v>15</v>
      </c>
      <c r="J8" s="1" t="s">
        <v>44</v>
      </c>
    </row>
    <row r="9" spans="1:13">
      <c r="A9" s="1" t="s">
        <v>45</v>
      </c>
      <c r="B9" s="1" t="s">
        <v>46</v>
      </c>
      <c r="C9" s="1" t="s">
        <v>47</v>
      </c>
      <c r="D9" s="1" t="s">
        <v>48</v>
      </c>
      <c r="E9" s="1" t="s">
        <v>14</v>
      </c>
      <c r="F9" s="2">
        <v>44887</v>
      </c>
      <c r="G9" s="1">
        <v>10200</v>
      </c>
      <c r="H9" s="1">
        <v>5</v>
      </c>
      <c r="I9" s="1" t="s">
        <v>15</v>
      </c>
      <c r="J9" s="1" t="s">
        <v>16</v>
      </c>
      <c r="L9" t="s">
        <v>49</v>
      </c>
      <c r="M9" s="4">
        <f>AVERAGEIF(C2:C501,"Finance",G2:G501)</f>
        <v>10556.923076923076</v>
      </c>
    </row>
    <row r="10" spans="1:13">
      <c r="A10" s="1" t="s">
        <v>50</v>
      </c>
      <c r="B10" s="1" t="s">
        <v>51</v>
      </c>
      <c r="C10" s="1" t="s">
        <v>36</v>
      </c>
      <c r="D10" s="1" t="s">
        <v>37</v>
      </c>
      <c r="E10" s="1" t="s">
        <v>22</v>
      </c>
      <c r="F10" s="2">
        <v>42582</v>
      </c>
      <c r="G10" s="1">
        <v>11200</v>
      </c>
      <c r="H10" s="1">
        <v>4</v>
      </c>
      <c r="I10" s="1" t="s">
        <v>15</v>
      </c>
      <c r="J10" s="1" t="s">
        <v>44</v>
      </c>
    </row>
    <row r="11" spans="1:13">
      <c r="A11" s="1" t="s">
        <v>52</v>
      </c>
      <c r="B11" s="1" t="s">
        <v>53</v>
      </c>
      <c r="C11" s="1" t="s">
        <v>47</v>
      </c>
      <c r="D11" s="1" t="s">
        <v>54</v>
      </c>
      <c r="E11" s="1" t="s">
        <v>14</v>
      </c>
      <c r="F11" s="2">
        <v>41736</v>
      </c>
      <c r="G11" s="1">
        <v>16500</v>
      </c>
      <c r="H11" s="1">
        <v>3</v>
      </c>
      <c r="I11" s="1" t="s">
        <v>15</v>
      </c>
      <c r="J11" s="1" t="s">
        <v>55</v>
      </c>
      <c r="L11" t="s">
        <v>56</v>
      </c>
      <c r="M11">
        <f>MAX(G2:G500)</f>
        <v>25500</v>
      </c>
    </row>
    <row r="12" spans="1:13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22</v>
      </c>
      <c r="F12" s="2">
        <v>42176</v>
      </c>
      <c r="G12" s="1">
        <v>12900</v>
      </c>
      <c r="H12" s="1">
        <v>3</v>
      </c>
      <c r="I12" s="1" t="s">
        <v>61</v>
      </c>
      <c r="J12" s="1" t="s">
        <v>16</v>
      </c>
    </row>
    <row r="13" spans="1:13">
      <c r="A13" s="1" t="s">
        <v>62</v>
      </c>
      <c r="B13" s="1" t="s">
        <v>63</v>
      </c>
      <c r="C13" s="1" t="s">
        <v>12</v>
      </c>
      <c r="D13" s="1" t="s">
        <v>64</v>
      </c>
      <c r="E13" s="1" t="s">
        <v>14</v>
      </c>
      <c r="F13" s="2">
        <v>45981</v>
      </c>
      <c r="G13" s="1">
        <v>11500</v>
      </c>
      <c r="H13" s="1">
        <v>4</v>
      </c>
      <c r="I13" s="1" t="s">
        <v>15</v>
      </c>
      <c r="J13" s="1" t="s">
        <v>23</v>
      </c>
      <c r="L13" t="s">
        <v>65</v>
      </c>
      <c r="M13">
        <f>MIN(G2:G501)</f>
        <v>4600</v>
      </c>
    </row>
    <row r="14" spans="1:13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22</v>
      </c>
      <c r="F14" s="2">
        <v>44225</v>
      </c>
      <c r="G14" s="1">
        <v>11600</v>
      </c>
      <c r="H14" s="1">
        <v>4</v>
      </c>
      <c r="I14" s="1" t="s">
        <v>15</v>
      </c>
      <c r="J14" s="1" t="s">
        <v>16</v>
      </c>
    </row>
    <row r="15" spans="1:13">
      <c r="A15" s="1" t="s">
        <v>70</v>
      </c>
      <c r="B15" s="1" t="s">
        <v>71</v>
      </c>
      <c r="C15" s="1" t="s">
        <v>36</v>
      </c>
      <c r="D15" s="1" t="s">
        <v>72</v>
      </c>
      <c r="E15" s="1" t="s">
        <v>14</v>
      </c>
      <c r="F15" s="2">
        <v>41676</v>
      </c>
      <c r="G15" s="1">
        <v>12400</v>
      </c>
      <c r="H15" s="1">
        <v>4</v>
      </c>
      <c r="I15" s="1" t="s">
        <v>15</v>
      </c>
      <c r="J15" s="1" t="s">
        <v>29</v>
      </c>
    </row>
    <row r="16" spans="1:13">
      <c r="A16" s="1" t="s">
        <v>73</v>
      </c>
      <c r="B16" s="1" t="s">
        <v>74</v>
      </c>
      <c r="C16" s="1" t="s">
        <v>20</v>
      </c>
      <c r="D16" s="1" t="s">
        <v>75</v>
      </c>
      <c r="E16" s="1" t="s">
        <v>22</v>
      </c>
      <c r="F16" s="2">
        <v>45937</v>
      </c>
      <c r="G16" s="1">
        <v>12700</v>
      </c>
      <c r="H16" s="1">
        <v>3</v>
      </c>
      <c r="I16" s="1" t="s">
        <v>15</v>
      </c>
      <c r="J16" s="1" t="s">
        <v>16</v>
      </c>
    </row>
    <row r="17" spans="1:10">
      <c r="A17" s="1" t="s">
        <v>76</v>
      </c>
      <c r="B17" s="1" t="s">
        <v>77</v>
      </c>
      <c r="C17" s="1" t="s">
        <v>68</v>
      </c>
      <c r="D17" s="1" t="s">
        <v>69</v>
      </c>
      <c r="E17" s="1" t="s">
        <v>22</v>
      </c>
      <c r="F17" s="2">
        <v>46000</v>
      </c>
      <c r="G17" s="1">
        <v>12600</v>
      </c>
      <c r="H17" s="1">
        <v>3</v>
      </c>
      <c r="I17" s="1" t="s">
        <v>15</v>
      </c>
      <c r="J17" s="1" t="s">
        <v>16</v>
      </c>
    </row>
    <row r="18" spans="1:10">
      <c r="A18" s="1" t="s">
        <v>78</v>
      </c>
      <c r="B18" s="1" t="s">
        <v>79</v>
      </c>
      <c r="C18" s="1" t="s">
        <v>68</v>
      </c>
      <c r="D18" s="1" t="s">
        <v>69</v>
      </c>
      <c r="E18" s="1" t="s">
        <v>14</v>
      </c>
      <c r="F18" s="2">
        <v>43355</v>
      </c>
      <c r="G18" s="1">
        <v>11200</v>
      </c>
      <c r="H18" s="1">
        <v>4</v>
      </c>
      <c r="I18" s="1" t="s">
        <v>15</v>
      </c>
      <c r="J18" s="1" t="s">
        <v>29</v>
      </c>
    </row>
    <row r="19" spans="1:10">
      <c r="A19" s="1" t="s">
        <v>80</v>
      </c>
      <c r="B19" s="1" t="s">
        <v>81</v>
      </c>
      <c r="C19" s="1" t="s">
        <v>36</v>
      </c>
      <c r="D19" s="1" t="s">
        <v>72</v>
      </c>
      <c r="E19" s="1" t="s">
        <v>14</v>
      </c>
      <c r="F19" s="2">
        <v>45788</v>
      </c>
      <c r="G19" s="1">
        <v>12100</v>
      </c>
      <c r="H19" s="1">
        <v>2</v>
      </c>
      <c r="I19" s="1" t="s">
        <v>15</v>
      </c>
      <c r="J19" s="1" t="s">
        <v>55</v>
      </c>
    </row>
    <row r="20" spans="1:10">
      <c r="A20" s="1" t="s">
        <v>82</v>
      </c>
      <c r="B20" s="1" t="s">
        <v>83</v>
      </c>
      <c r="C20" s="1" t="s">
        <v>12</v>
      </c>
      <c r="D20" s="1" t="s">
        <v>64</v>
      </c>
      <c r="E20" s="1" t="s">
        <v>22</v>
      </c>
      <c r="F20" s="2">
        <v>43641</v>
      </c>
      <c r="G20" s="1">
        <v>10000</v>
      </c>
      <c r="H20" s="1">
        <v>3</v>
      </c>
      <c r="I20" s="1" t="s">
        <v>15</v>
      </c>
      <c r="J20" s="1" t="s">
        <v>16</v>
      </c>
    </row>
    <row r="21" spans="1:10">
      <c r="A21" s="1" t="s">
        <v>84</v>
      </c>
      <c r="B21" s="1" t="s">
        <v>85</v>
      </c>
      <c r="C21" s="1" t="s">
        <v>59</v>
      </c>
      <c r="D21" s="1" t="s">
        <v>86</v>
      </c>
      <c r="E21" s="1" t="s">
        <v>14</v>
      </c>
      <c r="F21" s="2">
        <v>42496</v>
      </c>
      <c r="G21" s="1">
        <v>10600</v>
      </c>
      <c r="H21" s="1">
        <v>2</v>
      </c>
      <c r="I21" s="1" t="s">
        <v>15</v>
      </c>
      <c r="J21" s="1" t="s">
        <v>23</v>
      </c>
    </row>
    <row r="22" spans="1:10">
      <c r="A22" s="1" t="s">
        <v>87</v>
      </c>
      <c r="B22" s="1" t="s">
        <v>88</v>
      </c>
      <c r="C22" s="1" t="s">
        <v>20</v>
      </c>
      <c r="D22" s="1" t="s">
        <v>75</v>
      </c>
      <c r="E22" s="1" t="s">
        <v>14</v>
      </c>
      <c r="F22" s="2">
        <v>46200</v>
      </c>
      <c r="G22" s="1">
        <v>11100</v>
      </c>
      <c r="H22" s="1">
        <v>3</v>
      </c>
      <c r="I22" s="1" t="s">
        <v>15</v>
      </c>
      <c r="J22" s="1" t="s">
        <v>16</v>
      </c>
    </row>
    <row r="23" spans="1:10">
      <c r="A23" s="1" t="s">
        <v>89</v>
      </c>
      <c r="B23" s="1" t="s">
        <v>90</v>
      </c>
      <c r="C23" s="1" t="s">
        <v>68</v>
      </c>
      <c r="D23" s="1" t="s">
        <v>91</v>
      </c>
      <c r="E23" s="1" t="s">
        <v>14</v>
      </c>
      <c r="F23" s="2">
        <v>44752</v>
      </c>
      <c r="G23" s="1">
        <v>6900</v>
      </c>
      <c r="H23" s="1">
        <v>4</v>
      </c>
      <c r="I23" s="1" t="s">
        <v>15</v>
      </c>
      <c r="J23" s="1" t="s">
        <v>29</v>
      </c>
    </row>
    <row r="24" spans="1:10">
      <c r="A24" s="1" t="s">
        <v>92</v>
      </c>
      <c r="B24" s="1" t="s">
        <v>93</v>
      </c>
      <c r="C24" s="1" t="s">
        <v>27</v>
      </c>
      <c r="D24" s="1" t="s">
        <v>28</v>
      </c>
      <c r="E24" s="1" t="s">
        <v>14</v>
      </c>
      <c r="F24" s="2">
        <v>44685</v>
      </c>
      <c r="G24" s="1">
        <v>12400</v>
      </c>
      <c r="H24" s="1">
        <v>4</v>
      </c>
      <c r="I24" s="1" t="s">
        <v>15</v>
      </c>
      <c r="J24" s="1" t="s">
        <v>16</v>
      </c>
    </row>
    <row r="25" spans="1:10">
      <c r="A25" s="1" t="s">
        <v>94</v>
      </c>
      <c r="B25" s="1" t="s">
        <v>95</v>
      </c>
      <c r="C25" s="1" t="s">
        <v>68</v>
      </c>
      <c r="D25" s="1" t="s">
        <v>96</v>
      </c>
      <c r="E25" s="1" t="s">
        <v>14</v>
      </c>
      <c r="F25" s="2">
        <v>43432</v>
      </c>
      <c r="G25" s="1">
        <v>18400</v>
      </c>
      <c r="H25" s="1">
        <v>4</v>
      </c>
      <c r="I25" s="1" t="s">
        <v>15</v>
      </c>
      <c r="J25" s="1" t="s">
        <v>16</v>
      </c>
    </row>
    <row r="26" spans="1:10">
      <c r="A26" s="1" t="s">
        <v>97</v>
      </c>
      <c r="B26" s="1" t="s">
        <v>98</v>
      </c>
      <c r="C26" s="1" t="s">
        <v>68</v>
      </c>
      <c r="D26" s="1" t="s">
        <v>69</v>
      </c>
      <c r="E26" s="1" t="s">
        <v>22</v>
      </c>
      <c r="F26" s="2">
        <v>44687</v>
      </c>
      <c r="G26" s="1">
        <v>14200</v>
      </c>
      <c r="H26" s="1">
        <v>3</v>
      </c>
      <c r="I26" s="1" t="s">
        <v>15</v>
      </c>
      <c r="J26" s="1" t="s">
        <v>29</v>
      </c>
    </row>
    <row r="27" spans="1:10">
      <c r="A27" s="1" t="s">
        <v>99</v>
      </c>
      <c r="B27" s="1" t="s">
        <v>100</v>
      </c>
      <c r="C27" s="1" t="s">
        <v>36</v>
      </c>
      <c r="D27" s="1" t="s">
        <v>101</v>
      </c>
      <c r="E27" s="1" t="s">
        <v>14</v>
      </c>
      <c r="F27" s="2">
        <v>42400</v>
      </c>
      <c r="G27" s="1">
        <v>10200</v>
      </c>
      <c r="H27" s="1">
        <v>4</v>
      </c>
      <c r="I27" s="1" t="s">
        <v>15</v>
      </c>
      <c r="J27" s="1" t="s">
        <v>55</v>
      </c>
    </row>
    <row r="28" spans="1:10">
      <c r="A28" s="1" t="s">
        <v>102</v>
      </c>
      <c r="B28" s="1" t="s">
        <v>103</v>
      </c>
      <c r="C28" s="1" t="s">
        <v>27</v>
      </c>
      <c r="D28" s="1" t="s">
        <v>40</v>
      </c>
      <c r="E28" s="1" t="s">
        <v>22</v>
      </c>
      <c r="F28" s="2">
        <v>42012</v>
      </c>
      <c r="G28" s="1">
        <v>8300</v>
      </c>
      <c r="H28" s="1">
        <v>3</v>
      </c>
      <c r="I28" s="1" t="s">
        <v>15</v>
      </c>
      <c r="J28" s="1" t="s">
        <v>29</v>
      </c>
    </row>
    <row r="29" spans="1:10">
      <c r="A29" s="1" t="s">
        <v>104</v>
      </c>
      <c r="B29" s="1" t="s">
        <v>105</v>
      </c>
      <c r="C29" s="1" t="s">
        <v>59</v>
      </c>
      <c r="D29" s="1" t="s">
        <v>106</v>
      </c>
      <c r="E29" s="1" t="s">
        <v>14</v>
      </c>
      <c r="F29" s="2">
        <v>45418</v>
      </c>
      <c r="G29" s="1">
        <v>10700</v>
      </c>
      <c r="H29" s="1">
        <v>5</v>
      </c>
      <c r="I29" s="1" t="s">
        <v>15</v>
      </c>
      <c r="J29" s="1" t="s">
        <v>29</v>
      </c>
    </row>
    <row r="30" spans="1:10">
      <c r="A30" s="1" t="s">
        <v>107</v>
      </c>
      <c r="B30" s="1" t="s">
        <v>108</v>
      </c>
      <c r="C30" s="1" t="s">
        <v>27</v>
      </c>
      <c r="D30" s="1" t="s">
        <v>109</v>
      </c>
      <c r="E30" s="1" t="s">
        <v>14</v>
      </c>
      <c r="F30" s="2">
        <v>42179</v>
      </c>
      <c r="G30" s="1">
        <v>5200</v>
      </c>
      <c r="H30" s="1">
        <v>5</v>
      </c>
      <c r="I30" s="1" t="s">
        <v>15</v>
      </c>
      <c r="J30" s="1" t="s">
        <v>16</v>
      </c>
    </row>
    <row r="31" spans="1:10">
      <c r="A31" s="1" t="s">
        <v>110</v>
      </c>
      <c r="B31" s="1" t="s">
        <v>111</v>
      </c>
      <c r="C31" s="1" t="s">
        <v>68</v>
      </c>
      <c r="D31" s="1" t="s">
        <v>69</v>
      </c>
      <c r="E31" s="1" t="s">
        <v>22</v>
      </c>
      <c r="F31" s="2">
        <v>42505</v>
      </c>
      <c r="G31" s="1">
        <v>13800</v>
      </c>
      <c r="H31" s="1">
        <v>3</v>
      </c>
      <c r="I31" s="1" t="s">
        <v>15</v>
      </c>
      <c r="J31" s="1" t="s">
        <v>16</v>
      </c>
    </row>
    <row r="32" spans="1:10">
      <c r="A32" s="1" t="s">
        <v>112</v>
      </c>
      <c r="B32" s="1" t="s">
        <v>113</v>
      </c>
      <c r="C32" s="1" t="s">
        <v>59</v>
      </c>
      <c r="D32" s="1" t="s">
        <v>86</v>
      </c>
      <c r="E32" s="1" t="s">
        <v>22</v>
      </c>
      <c r="F32" s="2">
        <v>45581</v>
      </c>
      <c r="G32" s="1">
        <v>11800</v>
      </c>
      <c r="H32" s="1">
        <v>3</v>
      </c>
      <c r="I32" s="1" t="s">
        <v>15</v>
      </c>
      <c r="J32" s="1" t="s">
        <v>16</v>
      </c>
    </row>
    <row r="33" spans="1:10">
      <c r="A33" s="1" t="s">
        <v>114</v>
      </c>
      <c r="B33" s="1" t="s">
        <v>115</v>
      </c>
      <c r="C33" s="1" t="s">
        <v>27</v>
      </c>
      <c r="D33" s="1" t="s">
        <v>109</v>
      </c>
      <c r="E33" s="1" t="s">
        <v>14</v>
      </c>
      <c r="F33" s="2">
        <v>44920</v>
      </c>
      <c r="G33" s="1">
        <v>5500</v>
      </c>
      <c r="H33" s="1">
        <v>4</v>
      </c>
      <c r="I33" s="1" t="s">
        <v>15</v>
      </c>
      <c r="J33" s="1" t="s">
        <v>16</v>
      </c>
    </row>
    <row r="34" spans="1:10">
      <c r="A34" s="1" t="s">
        <v>116</v>
      </c>
      <c r="B34" s="1" t="s">
        <v>117</v>
      </c>
      <c r="C34" s="1" t="s">
        <v>59</v>
      </c>
      <c r="D34" s="1" t="s">
        <v>118</v>
      </c>
      <c r="E34" s="1" t="s">
        <v>14</v>
      </c>
      <c r="F34" s="2">
        <v>44005</v>
      </c>
      <c r="G34" s="1">
        <v>7500</v>
      </c>
      <c r="H34" s="1">
        <v>5</v>
      </c>
      <c r="I34" s="1" t="s">
        <v>15</v>
      </c>
      <c r="J34" s="1" t="s">
        <v>44</v>
      </c>
    </row>
    <row r="35" spans="1:10">
      <c r="A35" s="1" t="s">
        <v>119</v>
      </c>
      <c r="B35" s="1" t="s">
        <v>120</v>
      </c>
      <c r="C35" s="1" t="s">
        <v>121</v>
      </c>
      <c r="D35" s="1" t="s">
        <v>122</v>
      </c>
      <c r="E35" s="1" t="s">
        <v>22</v>
      </c>
      <c r="F35" s="2">
        <v>41734</v>
      </c>
      <c r="G35" s="1">
        <v>11500</v>
      </c>
      <c r="H35" s="1">
        <v>4</v>
      </c>
      <c r="I35" s="1" t="s">
        <v>15</v>
      </c>
      <c r="J35" s="1" t="s">
        <v>16</v>
      </c>
    </row>
    <row r="36" spans="1:10">
      <c r="A36" s="1" t="s">
        <v>123</v>
      </c>
      <c r="B36" s="1" t="s">
        <v>124</v>
      </c>
      <c r="C36" s="1" t="s">
        <v>68</v>
      </c>
      <c r="D36" s="1" t="s">
        <v>96</v>
      </c>
      <c r="E36" s="1" t="s">
        <v>14</v>
      </c>
      <c r="F36" s="2">
        <v>44405</v>
      </c>
      <c r="G36" s="1">
        <v>23300</v>
      </c>
      <c r="H36" s="1">
        <v>4</v>
      </c>
      <c r="I36" s="1" t="s">
        <v>15</v>
      </c>
      <c r="J36" s="1" t="s">
        <v>16</v>
      </c>
    </row>
    <row r="37" spans="1:10">
      <c r="A37" s="1" t="s">
        <v>125</v>
      </c>
      <c r="B37" s="1" t="s">
        <v>126</v>
      </c>
      <c r="C37" s="1" t="s">
        <v>59</v>
      </c>
      <c r="D37" s="1" t="s">
        <v>127</v>
      </c>
      <c r="E37" s="1" t="s">
        <v>14</v>
      </c>
      <c r="F37" s="2">
        <v>41811</v>
      </c>
      <c r="G37" s="1">
        <v>17200</v>
      </c>
      <c r="H37" s="1">
        <v>5</v>
      </c>
      <c r="I37" s="1" t="s">
        <v>15</v>
      </c>
      <c r="J37" s="1" t="s">
        <v>16</v>
      </c>
    </row>
    <row r="38" spans="1:10">
      <c r="A38" s="1" t="s">
        <v>128</v>
      </c>
      <c r="B38" s="1" t="s">
        <v>129</v>
      </c>
      <c r="C38" s="1" t="s">
        <v>59</v>
      </c>
      <c r="D38" s="1" t="s">
        <v>106</v>
      </c>
      <c r="E38" s="1" t="s">
        <v>22</v>
      </c>
      <c r="F38" s="2">
        <v>43578</v>
      </c>
      <c r="G38" s="1">
        <v>9000</v>
      </c>
      <c r="H38" s="1">
        <v>1</v>
      </c>
      <c r="I38" s="1" t="s">
        <v>15</v>
      </c>
      <c r="J38" s="1" t="s">
        <v>16</v>
      </c>
    </row>
    <row r="39" spans="1:10">
      <c r="A39" s="1" t="s">
        <v>130</v>
      </c>
      <c r="B39" s="1" t="s">
        <v>131</v>
      </c>
      <c r="C39" s="1" t="s">
        <v>12</v>
      </c>
      <c r="D39" s="1" t="s">
        <v>132</v>
      </c>
      <c r="E39" s="1" t="s">
        <v>22</v>
      </c>
      <c r="F39" s="2">
        <v>44198</v>
      </c>
      <c r="G39" s="1">
        <v>14100</v>
      </c>
      <c r="H39" s="1">
        <v>4</v>
      </c>
      <c r="I39" s="1" t="s">
        <v>15</v>
      </c>
      <c r="J39" s="1" t="s">
        <v>55</v>
      </c>
    </row>
    <row r="40" spans="1:10">
      <c r="A40" s="1" t="s">
        <v>133</v>
      </c>
      <c r="B40" s="1" t="s">
        <v>134</v>
      </c>
      <c r="C40" s="1" t="s">
        <v>36</v>
      </c>
      <c r="D40" s="1" t="s">
        <v>101</v>
      </c>
      <c r="E40" s="1" t="s">
        <v>14</v>
      </c>
      <c r="F40" s="2">
        <v>45622</v>
      </c>
      <c r="G40" s="1">
        <v>10600</v>
      </c>
      <c r="H40" s="1">
        <v>4</v>
      </c>
      <c r="I40" s="1" t="s">
        <v>135</v>
      </c>
      <c r="J40" s="1" t="s">
        <v>29</v>
      </c>
    </row>
    <row r="41" spans="1:10">
      <c r="A41" s="1" t="s">
        <v>136</v>
      </c>
      <c r="B41" s="1" t="s">
        <v>137</v>
      </c>
      <c r="C41" s="1" t="s">
        <v>27</v>
      </c>
      <c r="D41" s="1" t="s">
        <v>40</v>
      </c>
      <c r="E41" s="1" t="s">
        <v>22</v>
      </c>
      <c r="F41" s="2">
        <v>41664</v>
      </c>
      <c r="G41" s="1">
        <v>8200</v>
      </c>
      <c r="H41" s="1">
        <v>4</v>
      </c>
      <c r="I41" s="1" t="s">
        <v>15</v>
      </c>
      <c r="J41" s="1" t="s">
        <v>29</v>
      </c>
    </row>
    <row r="42" spans="1:10">
      <c r="A42" s="1" t="s">
        <v>138</v>
      </c>
      <c r="B42" s="1" t="s">
        <v>139</v>
      </c>
      <c r="C42" s="1" t="s">
        <v>12</v>
      </c>
      <c r="D42" s="1" t="s">
        <v>64</v>
      </c>
      <c r="E42" s="1" t="s">
        <v>14</v>
      </c>
      <c r="F42" s="2">
        <v>43400</v>
      </c>
      <c r="G42" s="1">
        <v>9800</v>
      </c>
      <c r="H42" s="1">
        <v>5</v>
      </c>
      <c r="I42" s="1" t="s">
        <v>15</v>
      </c>
      <c r="J42" s="1" t="s">
        <v>16</v>
      </c>
    </row>
    <row r="43" spans="1:10">
      <c r="A43" s="1" t="s">
        <v>140</v>
      </c>
      <c r="B43" s="1" t="s">
        <v>141</v>
      </c>
      <c r="C43" s="1" t="s">
        <v>59</v>
      </c>
      <c r="D43" s="1" t="s">
        <v>86</v>
      </c>
      <c r="E43" s="1" t="s">
        <v>14</v>
      </c>
      <c r="F43" s="2">
        <v>44867</v>
      </c>
      <c r="G43" s="1">
        <v>9600</v>
      </c>
      <c r="H43" s="1">
        <v>5</v>
      </c>
      <c r="I43" s="1" t="s">
        <v>15</v>
      </c>
      <c r="J43" s="1" t="s">
        <v>29</v>
      </c>
    </row>
    <row r="44" spans="1:10">
      <c r="A44" s="1" t="s">
        <v>142</v>
      </c>
      <c r="B44" s="1" t="s">
        <v>143</v>
      </c>
      <c r="C44" s="1" t="s">
        <v>59</v>
      </c>
      <c r="D44" s="1" t="s">
        <v>106</v>
      </c>
      <c r="E44" s="1" t="s">
        <v>22</v>
      </c>
      <c r="F44" s="2">
        <v>43669</v>
      </c>
      <c r="G44" s="1">
        <v>9800</v>
      </c>
      <c r="H44" s="1">
        <v>3</v>
      </c>
      <c r="I44" s="1" t="s">
        <v>15</v>
      </c>
      <c r="J44" s="1" t="s">
        <v>16</v>
      </c>
    </row>
    <row r="45" spans="1:10">
      <c r="A45" s="1" t="s">
        <v>144</v>
      </c>
      <c r="B45" s="1" t="s">
        <v>145</v>
      </c>
      <c r="C45" s="1" t="s">
        <v>36</v>
      </c>
      <c r="D45" s="1" t="s">
        <v>37</v>
      </c>
      <c r="E45" s="1" t="s">
        <v>14</v>
      </c>
      <c r="F45" s="2">
        <v>45571</v>
      </c>
      <c r="G45" s="1">
        <v>9100</v>
      </c>
      <c r="H45" s="1">
        <v>3</v>
      </c>
      <c r="I45" s="1" t="s">
        <v>15</v>
      </c>
      <c r="J45" s="1" t="s">
        <v>55</v>
      </c>
    </row>
    <row r="46" spans="1:10">
      <c r="A46" s="1" t="s">
        <v>146</v>
      </c>
      <c r="B46" s="1" t="s">
        <v>147</v>
      </c>
      <c r="C46" s="1" t="s">
        <v>121</v>
      </c>
      <c r="D46" s="1" t="s">
        <v>122</v>
      </c>
      <c r="E46" s="1" t="s">
        <v>14</v>
      </c>
      <c r="F46" s="2">
        <v>45464</v>
      </c>
      <c r="G46" s="1">
        <v>14400</v>
      </c>
      <c r="H46" s="1">
        <v>4</v>
      </c>
      <c r="I46" s="1" t="s">
        <v>15</v>
      </c>
      <c r="J46" s="1" t="s">
        <v>29</v>
      </c>
    </row>
    <row r="47" spans="1:10">
      <c r="A47" s="1" t="s">
        <v>148</v>
      </c>
      <c r="B47" s="1" t="s">
        <v>149</v>
      </c>
      <c r="C47" s="1" t="s">
        <v>20</v>
      </c>
      <c r="D47" s="1" t="s">
        <v>150</v>
      </c>
      <c r="E47" s="1" t="s">
        <v>14</v>
      </c>
      <c r="F47" s="2">
        <v>45349</v>
      </c>
      <c r="G47" s="1">
        <v>18600</v>
      </c>
      <c r="H47" s="1">
        <v>4</v>
      </c>
      <c r="I47" s="1" t="s">
        <v>135</v>
      </c>
      <c r="J47" s="1" t="s">
        <v>23</v>
      </c>
    </row>
    <row r="48" spans="1:10">
      <c r="A48" s="1" t="s">
        <v>151</v>
      </c>
      <c r="B48" s="1" t="s">
        <v>152</v>
      </c>
      <c r="C48" s="1" t="s">
        <v>20</v>
      </c>
      <c r="D48" s="1" t="s">
        <v>21</v>
      </c>
      <c r="E48" s="1" t="s">
        <v>22</v>
      </c>
      <c r="F48" s="2">
        <v>44750</v>
      </c>
      <c r="G48" s="1">
        <v>6300</v>
      </c>
      <c r="H48" s="1">
        <v>5</v>
      </c>
      <c r="I48" s="1" t="s">
        <v>15</v>
      </c>
      <c r="J48" s="1" t="s">
        <v>16</v>
      </c>
    </row>
    <row r="49" spans="1:10">
      <c r="A49" s="1" t="s">
        <v>153</v>
      </c>
      <c r="B49" s="1" t="s">
        <v>154</v>
      </c>
      <c r="C49" s="1" t="s">
        <v>27</v>
      </c>
      <c r="D49" s="1" t="s">
        <v>40</v>
      </c>
      <c r="E49" s="1" t="s">
        <v>14</v>
      </c>
      <c r="F49" s="2">
        <v>44133</v>
      </c>
      <c r="G49" s="1">
        <v>7600</v>
      </c>
      <c r="H49" s="1">
        <v>5</v>
      </c>
      <c r="I49" s="1" t="s">
        <v>15</v>
      </c>
      <c r="J49" s="1" t="s">
        <v>29</v>
      </c>
    </row>
    <row r="50" spans="1:10">
      <c r="A50" s="1" t="s">
        <v>155</v>
      </c>
      <c r="B50" s="1" t="s">
        <v>156</v>
      </c>
      <c r="C50" s="1" t="s">
        <v>12</v>
      </c>
      <c r="D50" s="1" t="s">
        <v>132</v>
      </c>
      <c r="E50" s="1" t="s">
        <v>22</v>
      </c>
      <c r="F50" s="2">
        <v>42320</v>
      </c>
      <c r="G50" s="1">
        <v>12700</v>
      </c>
      <c r="H50" s="1">
        <v>4</v>
      </c>
      <c r="I50" s="1" t="s">
        <v>15</v>
      </c>
      <c r="J50" s="1" t="s">
        <v>16</v>
      </c>
    </row>
    <row r="51" spans="1:10">
      <c r="A51" s="1" t="s">
        <v>157</v>
      </c>
      <c r="B51" s="1" t="s">
        <v>158</v>
      </c>
      <c r="C51" s="1" t="s">
        <v>27</v>
      </c>
      <c r="D51" s="1" t="s">
        <v>109</v>
      </c>
      <c r="E51" s="1" t="s">
        <v>14</v>
      </c>
      <c r="F51" s="2">
        <v>45690</v>
      </c>
      <c r="G51" s="1">
        <v>5500</v>
      </c>
      <c r="H51" s="1">
        <v>4</v>
      </c>
      <c r="I51" s="1" t="s">
        <v>15</v>
      </c>
      <c r="J51" s="1" t="s">
        <v>16</v>
      </c>
    </row>
    <row r="52" spans="1:10">
      <c r="A52" s="1" t="s">
        <v>159</v>
      </c>
      <c r="B52" s="1" t="s">
        <v>160</v>
      </c>
      <c r="C52" s="1" t="s">
        <v>36</v>
      </c>
      <c r="D52" s="1" t="s">
        <v>101</v>
      </c>
      <c r="E52" s="1" t="s">
        <v>14</v>
      </c>
      <c r="F52" s="2">
        <v>44780</v>
      </c>
      <c r="G52" s="1">
        <v>9100</v>
      </c>
      <c r="H52" s="1">
        <v>2</v>
      </c>
      <c r="I52" s="1" t="s">
        <v>15</v>
      </c>
      <c r="J52" s="1" t="s">
        <v>44</v>
      </c>
    </row>
    <row r="53" spans="1:10">
      <c r="A53" s="1" t="s">
        <v>161</v>
      </c>
      <c r="B53" s="1" t="s">
        <v>162</v>
      </c>
      <c r="C53" s="1" t="s">
        <v>121</v>
      </c>
      <c r="D53" s="1" t="s">
        <v>163</v>
      </c>
      <c r="E53" s="1" t="s">
        <v>14</v>
      </c>
      <c r="F53" s="2">
        <v>44321</v>
      </c>
      <c r="G53" s="1">
        <v>7000</v>
      </c>
      <c r="H53" s="1">
        <v>3</v>
      </c>
      <c r="I53" s="1" t="s">
        <v>15</v>
      </c>
      <c r="J53" s="1" t="s">
        <v>16</v>
      </c>
    </row>
    <row r="54" spans="1:10">
      <c r="A54" s="1" t="s">
        <v>164</v>
      </c>
      <c r="B54" s="1" t="s">
        <v>165</v>
      </c>
      <c r="C54" s="1" t="s">
        <v>20</v>
      </c>
      <c r="D54" s="1" t="s">
        <v>21</v>
      </c>
      <c r="E54" s="1" t="s">
        <v>14</v>
      </c>
      <c r="F54" s="2">
        <v>42894</v>
      </c>
      <c r="G54" s="1">
        <v>8600</v>
      </c>
      <c r="H54" s="1">
        <v>4</v>
      </c>
      <c r="I54" s="1" t="s">
        <v>15</v>
      </c>
      <c r="J54" s="1" t="s">
        <v>29</v>
      </c>
    </row>
    <row r="55" spans="1:10">
      <c r="A55" s="1" t="s">
        <v>166</v>
      </c>
      <c r="B55" s="1" t="s">
        <v>167</v>
      </c>
      <c r="C55" s="1" t="s">
        <v>59</v>
      </c>
      <c r="D55" s="1" t="s">
        <v>106</v>
      </c>
      <c r="E55" s="1" t="s">
        <v>14</v>
      </c>
      <c r="F55" s="2">
        <v>43631</v>
      </c>
      <c r="G55" s="1">
        <v>9700</v>
      </c>
      <c r="H55" s="1">
        <v>3</v>
      </c>
      <c r="I55" s="1" t="s">
        <v>15</v>
      </c>
      <c r="J55" s="1" t="s">
        <v>29</v>
      </c>
    </row>
    <row r="56" spans="1:10">
      <c r="A56" s="1" t="s">
        <v>168</v>
      </c>
      <c r="B56" s="1" t="s">
        <v>169</v>
      </c>
      <c r="C56" s="1" t="s">
        <v>68</v>
      </c>
      <c r="D56" s="1" t="s">
        <v>170</v>
      </c>
      <c r="E56" s="1" t="s">
        <v>14</v>
      </c>
      <c r="F56" s="2">
        <v>42994</v>
      </c>
      <c r="G56" s="1">
        <v>17300</v>
      </c>
      <c r="H56" s="1">
        <v>3</v>
      </c>
      <c r="I56" s="1" t="s">
        <v>15</v>
      </c>
      <c r="J56" s="1" t="s">
        <v>16</v>
      </c>
    </row>
    <row r="57" spans="1:10">
      <c r="A57" s="1" t="s">
        <v>171</v>
      </c>
      <c r="B57" s="1" t="s">
        <v>172</v>
      </c>
      <c r="C57" s="1" t="s">
        <v>12</v>
      </c>
      <c r="D57" s="1" t="s">
        <v>13</v>
      </c>
      <c r="E57" s="1" t="s">
        <v>14</v>
      </c>
      <c r="F57" s="2">
        <v>43863</v>
      </c>
      <c r="G57" s="1">
        <v>6500</v>
      </c>
      <c r="H57" s="1">
        <v>4</v>
      </c>
      <c r="I57" s="1" t="s">
        <v>15</v>
      </c>
      <c r="J57" s="1" t="s">
        <v>16</v>
      </c>
    </row>
    <row r="58" spans="1:10">
      <c r="A58" s="1" t="s">
        <v>173</v>
      </c>
      <c r="B58" s="1" t="s">
        <v>174</v>
      </c>
      <c r="C58" s="1" t="s">
        <v>20</v>
      </c>
      <c r="D58" s="1" t="s">
        <v>21</v>
      </c>
      <c r="E58" s="1" t="s">
        <v>14</v>
      </c>
      <c r="F58" s="2">
        <v>43625</v>
      </c>
      <c r="G58" s="1">
        <v>6200</v>
      </c>
      <c r="H58" s="1">
        <v>4</v>
      </c>
      <c r="I58" s="1" t="s">
        <v>15</v>
      </c>
      <c r="J58" s="1" t="s">
        <v>16</v>
      </c>
    </row>
    <row r="59" spans="1:10">
      <c r="A59" s="1" t="s">
        <v>175</v>
      </c>
      <c r="B59" s="1" t="s">
        <v>176</v>
      </c>
      <c r="C59" s="1" t="s">
        <v>68</v>
      </c>
      <c r="D59" s="1" t="s">
        <v>177</v>
      </c>
      <c r="E59" s="1" t="s">
        <v>14</v>
      </c>
      <c r="F59" s="2">
        <v>44313</v>
      </c>
      <c r="G59" s="1">
        <v>10700</v>
      </c>
      <c r="H59" s="1">
        <v>4</v>
      </c>
      <c r="I59" s="1" t="s">
        <v>15</v>
      </c>
      <c r="J59" s="1" t="s">
        <v>16</v>
      </c>
    </row>
    <row r="60" spans="1:10">
      <c r="A60" s="1" t="s">
        <v>178</v>
      </c>
      <c r="B60" s="1" t="s">
        <v>179</v>
      </c>
      <c r="C60" s="1" t="s">
        <v>121</v>
      </c>
      <c r="D60" s="1" t="s">
        <v>180</v>
      </c>
      <c r="E60" s="1" t="s">
        <v>14</v>
      </c>
      <c r="F60" s="2">
        <v>45798</v>
      </c>
      <c r="G60" s="1">
        <v>21300</v>
      </c>
      <c r="H60" s="1">
        <v>4</v>
      </c>
      <c r="I60" s="1" t="s">
        <v>15</v>
      </c>
      <c r="J60" s="1" t="s">
        <v>16</v>
      </c>
    </row>
    <row r="61" spans="1:10">
      <c r="A61" s="1" t="s">
        <v>181</v>
      </c>
      <c r="B61" s="1" t="s">
        <v>182</v>
      </c>
      <c r="C61" s="1" t="s">
        <v>27</v>
      </c>
      <c r="D61" s="1" t="s">
        <v>109</v>
      </c>
      <c r="E61" s="1" t="s">
        <v>22</v>
      </c>
      <c r="F61" s="2">
        <v>44321</v>
      </c>
      <c r="G61" s="1">
        <v>6700</v>
      </c>
      <c r="H61" s="1">
        <v>3</v>
      </c>
      <c r="I61" s="1" t="s">
        <v>15</v>
      </c>
      <c r="J61" s="1" t="s">
        <v>55</v>
      </c>
    </row>
    <row r="62" spans="1:10">
      <c r="A62" s="1" t="s">
        <v>183</v>
      </c>
      <c r="B62" s="1" t="s">
        <v>184</v>
      </c>
      <c r="C62" s="1" t="s">
        <v>12</v>
      </c>
      <c r="D62" s="1" t="s">
        <v>64</v>
      </c>
      <c r="E62" s="1" t="s">
        <v>14</v>
      </c>
      <c r="F62" s="2">
        <v>44035</v>
      </c>
      <c r="G62" s="1">
        <v>11300</v>
      </c>
      <c r="H62" s="1">
        <v>4</v>
      </c>
      <c r="I62" s="1" t="s">
        <v>15</v>
      </c>
      <c r="J62" s="1" t="s">
        <v>16</v>
      </c>
    </row>
    <row r="63" spans="1:10">
      <c r="A63" s="1" t="s">
        <v>185</v>
      </c>
      <c r="B63" s="1" t="s">
        <v>71</v>
      </c>
      <c r="C63" s="1" t="s">
        <v>59</v>
      </c>
      <c r="D63" s="1" t="s">
        <v>86</v>
      </c>
      <c r="E63" s="1" t="s">
        <v>14</v>
      </c>
      <c r="F63" s="2">
        <v>45271</v>
      </c>
      <c r="G63" s="1">
        <v>9500</v>
      </c>
      <c r="H63" s="1">
        <v>3</v>
      </c>
      <c r="I63" s="1" t="s">
        <v>15</v>
      </c>
      <c r="J63" s="1" t="s">
        <v>55</v>
      </c>
    </row>
    <row r="64" spans="1:10">
      <c r="A64" s="1" t="s">
        <v>186</v>
      </c>
      <c r="B64" s="1" t="s">
        <v>187</v>
      </c>
      <c r="C64" s="1" t="s">
        <v>59</v>
      </c>
      <c r="D64" s="1" t="s">
        <v>86</v>
      </c>
      <c r="E64" s="1" t="s">
        <v>22</v>
      </c>
      <c r="F64" s="2">
        <v>45718</v>
      </c>
      <c r="G64" s="1">
        <v>10400</v>
      </c>
      <c r="H64" s="1">
        <v>5</v>
      </c>
      <c r="I64" s="1" t="s">
        <v>135</v>
      </c>
      <c r="J64" s="1" t="s">
        <v>55</v>
      </c>
    </row>
    <row r="65" spans="1:10">
      <c r="A65" s="1" t="s">
        <v>188</v>
      </c>
      <c r="B65" s="1" t="s">
        <v>189</v>
      </c>
      <c r="C65" s="1" t="s">
        <v>59</v>
      </c>
      <c r="D65" s="1" t="s">
        <v>106</v>
      </c>
      <c r="E65" s="1" t="s">
        <v>14</v>
      </c>
      <c r="F65" s="2">
        <v>42137</v>
      </c>
      <c r="G65" s="1">
        <v>11000</v>
      </c>
      <c r="H65" s="1">
        <v>2</v>
      </c>
      <c r="I65" s="1" t="s">
        <v>135</v>
      </c>
      <c r="J65" s="1" t="s">
        <v>23</v>
      </c>
    </row>
    <row r="66" spans="1:10">
      <c r="A66" s="1" t="s">
        <v>190</v>
      </c>
      <c r="B66" s="1" t="s">
        <v>191</v>
      </c>
      <c r="C66" s="1" t="s">
        <v>36</v>
      </c>
      <c r="D66" s="1" t="s">
        <v>101</v>
      </c>
      <c r="E66" s="1" t="s">
        <v>22</v>
      </c>
      <c r="F66" s="2">
        <v>45495</v>
      </c>
      <c r="G66" s="1">
        <v>11100</v>
      </c>
      <c r="H66" s="1">
        <v>3</v>
      </c>
      <c r="I66" s="1" t="s">
        <v>15</v>
      </c>
      <c r="J66" s="1" t="s">
        <v>29</v>
      </c>
    </row>
    <row r="67" spans="1:10">
      <c r="A67" s="1" t="s">
        <v>192</v>
      </c>
      <c r="B67" s="1" t="s">
        <v>193</v>
      </c>
      <c r="C67" s="1" t="s">
        <v>12</v>
      </c>
      <c r="D67" s="1" t="s">
        <v>64</v>
      </c>
      <c r="E67" s="1" t="s">
        <v>14</v>
      </c>
      <c r="F67" s="2">
        <v>42408</v>
      </c>
      <c r="G67" s="1">
        <v>10500</v>
      </c>
      <c r="H67" s="1">
        <v>3</v>
      </c>
      <c r="I67" s="1" t="s">
        <v>15</v>
      </c>
      <c r="J67" s="1" t="s">
        <v>29</v>
      </c>
    </row>
    <row r="68" spans="1:10">
      <c r="A68" s="1" t="s">
        <v>194</v>
      </c>
      <c r="B68" s="1" t="s">
        <v>195</v>
      </c>
      <c r="C68" s="1" t="s">
        <v>36</v>
      </c>
      <c r="D68" s="1" t="s">
        <v>37</v>
      </c>
      <c r="E68" s="1" t="s">
        <v>14</v>
      </c>
      <c r="F68" s="2">
        <v>41895</v>
      </c>
      <c r="G68" s="1">
        <v>10700</v>
      </c>
      <c r="H68" s="1">
        <v>4</v>
      </c>
      <c r="I68" s="1" t="s">
        <v>15</v>
      </c>
      <c r="J68" s="1" t="s">
        <v>16</v>
      </c>
    </row>
    <row r="69" spans="1:10">
      <c r="A69" s="1" t="s">
        <v>196</v>
      </c>
      <c r="B69" s="1" t="s">
        <v>197</v>
      </c>
      <c r="C69" s="1" t="s">
        <v>27</v>
      </c>
      <c r="D69" s="1" t="s">
        <v>28</v>
      </c>
      <c r="E69" s="1" t="s">
        <v>14</v>
      </c>
      <c r="F69" s="2">
        <v>45979</v>
      </c>
      <c r="G69" s="1">
        <v>9700</v>
      </c>
      <c r="H69" s="1">
        <v>1</v>
      </c>
      <c r="I69" s="1" t="s">
        <v>15</v>
      </c>
      <c r="J69" s="1" t="s">
        <v>29</v>
      </c>
    </row>
    <row r="70" spans="1:10">
      <c r="A70" s="1" t="s">
        <v>198</v>
      </c>
      <c r="B70" s="1" t="s">
        <v>199</v>
      </c>
      <c r="C70" s="1" t="s">
        <v>20</v>
      </c>
      <c r="D70" s="1" t="s">
        <v>21</v>
      </c>
      <c r="E70" s="1" t="s">
        <v>22</v>
      </c>
      <c r="F70" s="2">
        <v>44365</v>
      </c>
      <c r="G70" s="1">
        <v>7000</v>
      </c>
      <c r="H70" s="1">
        <v>4</v>
      </c>
      <c r="I70" s="1" t="s">
        <v>15</v>
      </c>
      <c r="J70" s="1" t="s">
        <v>23</v>
      </c>
    </row>
    <row r="71" spans="1:10">
      <c r="A71" s="1" t="s">
        <v>200</v>
      </c>
      <c r="B71" s="1" t="s">
        <v>201</v>
      </c>
      <c r="C71" s="1" t="s">
        <v>12</v>
      </c>
      <c r="D71" s="1" t="s">
        <v>13</v>
      </c>
      <c r="E71" s="1" t="s">
        <v>22</v>
      </c>
      <c r="F71" s="2">
        <v>42722</v>
      </c>
      <c r="G71" s="1">
        <v>7100</v>
      </c>
      <c r="H71" s="1">
        <v>3</v>
      </c>
      <c r="I71" s="1" t="s">
        <v>15</v>
      </c>
      <c r="J71" s="1" t="s">
        <v>16</v>
      </c>
    </row>
    <row r="72" spans="1:10">
      <c r="A72" s="1" t="s">
        <v>202</v>
      </c>
      <c r="B72" s="1" t="s">
        <v>203</v>
      </c>
      <c r="C72" s="1" t="s">
        <v>36</v>
      </c>
      <c r="D72" s="1" t="s">
        <v>101</v>
      </c>
      <c r="E72" s="1" t="s">
        <v>14</v>
      </c>
      <c r="F72" s="2">
        <v>44021</v>
      </c>
      <c r="G72" s="1">
        <v>10000</v>
      </c>
      <c r="H72" s="1">
        <v>3</v>
      </c>
      <c r="I72" s="1" t="s">
        <v>15</v>
      </c>
      <c r="J72" s="1" t="s">
        <v>23</v>
      </c>
    </row>
    <row r="73" spans="1:10">
      <c r="A73" s="1" t="s">
        <v>204</v>
      </c>
      <c r="B73" s="1" t="s">
        <v>205</v>
      </c>
      <c r="C73" s="1" t="s">
        <v>47</v>
      </c>
      <c r="D73" s="1" t="s">
        <v>206</v>
      </c>
      <c r="E73" s="1" t="s">
        <v>22</v>
      </c>
      <c r="F73" s="2">
        <v>43118</v>
      </c>
      <c r="G73" s="1">
        <v>5400</v>
      </c>
      <c r="H73" s="1">
        <v>3</v>
      </c>
      <c r="I73" s="1" t="s">
        <v>15</v>
      </c>
      <c r="J73" s="1" t="s">
        <v>16</v>
      </c>
    </row>
    <row r="74" spans="1:10">
      <c r="A74" s="1" t="s">
        <v>207</v>
      </c>
      <c r="B74" s="1" t="s">
        <v>208</v>
      </c>
      <c r="C74" s="1" t="s">
        <v>12</v>
      </c>
      <c r="D74" s="1" t="s">
        <v>13</v>
      </c>
      <c r="E74" s="1" t="s">
        <v>14</v>
      </c>
      <c r="F74" s="2">
        <v>45136</v>
      </c>
      <c r="G74" s="1">
        <v>6500</v>
      </c>
      <c r="H74" s="1">
        <v>5</v>
      </c>
      <c r="I74" s="1" t="s">
        <v>15</v>
      </c>
      <c r="J74" s="1" t="s">
        <v>23</v>
      </c>
    </row>
    <row r="75" spans="1:10">
      <c r="A75" s="1" t="s">
        <v>209</v>
      </c>
      <c r="B75" s="1" t="s">
        <v>197</v>
      </c>
      <c r="C75" s="1" t="s">
        <v>121</v>
      </c>
      <c r="D75" s="1" t="s">
        <v>163</v>
      </c>
      <c r="E75" s="1" t="s">
        <v>14</v>
      </c>
      <c r="F75" s="2">
        <v>44330</v>
      </c>
      <c r="G75" s="1">
        <v>7300</v>
      </c>
      <c r="H75" s="1">
        <v>4</v>
      </c>
      <c r="I75" s="1" t="s">
        <v>15</v>
      </c>
      <c r="J75" s="1" t="s">
        <v>16</v>
      </c>
    </row>
    <row r="76" spans="1:10">
      <c r="A76" s="1" t="s">
        <v>210</v>
      </c>
      <c r="B76" s="1" t="s">
        <v>211</v>
      </c>
      <c r="C76" s="1" t="s">
        <v>36</v>
      </c>
      <c r="D76" s="1" t="s">
        <v>37</v>
      </c>
      <c r="E76" s="1" t="s">
        <v>14</v>
      </c>
      <c r="F76" s="2">
        <v>42734</v>
      </c>
      <c r="G76" s="1">
        <v>8800</v>
      </c>
      <c r="H76" s="1">
        <v>3</v>
      </c>
      <c r="I76" s="1" t="s">
        <v>15</v>
      </c>
      <c r="J76" s="1" t="s">
        <v>16</v>
      </c>
    </row>
    <row r="77" spans="1:10">
      <c r="A77" s="1" t="s">
        <v>212</v>
      </c>
      <c r="B77" s="1" t="s">
        <v>213</v>
      </c>
      <c r="C77" s="1" t="s">
        <v>20</v>
      </c>
      <c r="D77" s="1" t="s">
        <v>150</v>
      </c>
      <c r="E77" s="1" t="s">
        <v>22</v>
      </c>
      <c r="F77" s="2">
        <v>44159</v>
      </c>
      <c r="G77" s="1">
        <v>17500</v>
      </c>
      <c r="H77" s="1">
        <v>4</v>
      </c>
      <c r="I77" s="1" t="s">
        <v>15</v>
      </c>
      <c r="J77" s="1" t="s">
        <v>23</v>
      </c>
    </row>
    <row r="78" spans="1:10">
      <c r="A78" s="1" t="s">
        <v>214</v>
      </c>
      <c r="B78" s="1" t="s">
        <v>215</v>
      </c>
      <c r="C78" s="1" t="s">
        <v>12</v>
      </c>
      <c r="D78" s="1" t="s">
        <v>32</v>
      </c>
      <c r="E78" s="1" t="s">
        <v>14</v>
      </c>
      <c r="F78" s="2">
        <v>43933</v>
      </c>
      <c r="G78" s="1">
        <v>8800</v>
      </c>
      <c r="H78" s="1">
        <v>2</v>
      </c>
      <c r="I78" s="1" t="s">
        <v>15</v>
      </c>
      <c r="J78" s="1" t="s">
        <v>23</v>
      </c>
    </row>
    <row r="79" spans="1:10">
      <c r="A79" s="1" t="s">
        <v>216</v>
      </c>
      <c r="B79" s="1" t="s">
        <v>217</v>
      </c>
      <c r="C79" s="1" t="s">
        <v>20</v>
      </c>
      <c r="D79" s="1" t="s">
        <v>218</v>
      </c>
      <c r="E79" s="1" t="s">
        <v>22</v>
      </c>
      <c r="F79" s="2">
        <v>44071</v>
      </c>
      <c r="G79" s="1">
        <v>8100</v>
      </c>
      <c r="H79" s="1">
        <v>4</v>
      </c>
      <c r="I79" s="1" t="s">
        <v>135</v>
      </c>
      <c r="J79" s="1" t="s">
        <v>16</v>
      </c>
    </row>
    <row r="80" spans="1:10">
      <c r="A80" s="1" t="s">
        <v>219</v>
      </c>
      <c r="B80" s="1" t="s">
        <v>220</v>
      </c>
      <c r="C80" s="1" t="s">
        <v>36</v>
      </c>
      <c r="D80" s="1" t="s">
        <v>101</v>
      </c>
      <c r="E80" s="1" t="s">
        <v>14</v>
      </c>
      <c r="F80" s="2">
        <v>44270</v>
      </c>
      <c r="G80" s="1">
        <v>9500</v>
      </c>
      <c r="H80" s="1">
        <v>4</v>
      </c>
      <c r="I80" s="1" t="s">
        <v>15</v>
      </c>
      <c r="J80" s="1" t="s">
        <v>16</v>
      </c>
    </row>
    <row r="81" spans="1:10">
      <c r="A81" s="1" t="s">
        <v>221</v>
      </c>
      <c r="B81" s="1" t="s">
        <v>222</v>
      </c>
      <c r="C81" s="1" t="s">
        <v>27</v>
      </c>
      <c r="D81" s="1" t="s">
        <v>28</v>
      </c>
      <c r="E81" s="1" t="s">
        <v>22</v>
      </c>
      <c r="F81" s="2">
        <v>45613</v>
      </c>
      <c r="G81" s="1">
        <v>9100</v>
      </c>
      <c r="H81" s="1">
        <v>4</v>
      </c>
      <c r="I81" s="1" t="s">
        <v>15</v>
      </c>
      <c r="J81" s="1" t="s">
        <v>16</v>
      </c>
    </row>
    <row r="82" spans="1:10">
      <c r="A82" s="1" t="s">
        <v>223</v>
      </c>
      <c r="B82" s="1" t="s">
        <v>224</v>
      </c>
      <c r="C82" s="1" t="s">
        <v>12</v>
      </c>
      <c r="D82" s="1" t="s">
        <v>13</v>
      </c>
      <c r="E82" s="1" t="s">
        <v>22</v>
      </c>
      <c r="F82" s="2">
        <v>43859</v>
      </c>
      <c r="G82" s="1">
        <v>6400</v>
      </c>
      <c r="H82" s="1">
        <v>3</v>
      </c>
      <c r="I82" s="1" t="s">
        <v>15</v>
      </c>
      <c r="J82" s="1" t="s">
        <v>29</v>
      </c>
    </row>
    <row r="83" spans="1:10">
      <c r="A83" s="1" t="s">
        <v>225</v>
      </c>
      <c r="B83" s="1" t="s">
        <v>226</v>
      </c>
      <c r="C83" s="1" t="s">
        <v>12</v>
      </c>
      <c r="D83" s="1" t="s">
        <v>227</v>
      </c>
      <c r="E83" s="1" t="s">
        <v>14</v>
      </c>
      <c r="F83" s="2">
        <v>44955</v>
      </c>
      <c r="G83" s="1">
        <v>25500</v>
      </c>
      <c r="H83" s="1">
        <v>3</v>
      </c>
      <c r="I83" s="1" t="s">
        <v>15</v>
      </c>
      <c r="J83" s="1" t="s">
        <v>44</v>
      </c>
    </row>
    <row r="84" spans="1:10">
      <c r="A84" s="1" t="s">
        <v>228</v>
      </c>
      <c r="B84" s="1" t="s">
        <v>229</v>
      </c>
      <c r="C84" s="1" t="s">
        <v>59</v>
      </c>
      <c r="D84" s="1" t="s">
        <v>106</v>
      </c>
      <c r="E84" s="1" t="s">
        <v>22</v>
      </c>
      <c r="F84" s="2">
        <v>43620</v>
      </c>
      <c r="G84" s="1">
        <v>11500</v>
      </c>
      <c r="H84" s="1">
        <v>3</v>
      </c>
      <c r="I84" s="1" t="s">
        <v>15</v>
      </c>
      <c r="J84" s="1" t="s">
        <v>16</v>
      </c>
    </row>
    <row r="85" spans="1:10">
      <c r="A85" s="1" t="s">
        <v>230</v>
      </c>
      <c r="B85" s="1" t="s">
        <v>231</v>
      </c>
      <c r="C85" s="1" t="s">
        <v>68</v>
      </c>
      <c r="D85" s="1" t="s">
        <v>177</v>
      </c>
      <c r="E85" s="1" t="s">
        <v>14</v>
      </c>
      <c r="F85" s="2">
        <v>45380</v>
      </c>
      <c r="G85" s="1">
        <v>11800</v>
      </c>
      <c r="H85" s="1">
        <v>3</v>
      </c>
      <c r="I85" s="1" t="s">
        <v>15</v>
      </c>
      <c r="J85" s="1" t="s">
        <v>29</v>
      </c>
    </row>
    <row r="86" spans="1:10">
      <c r="A86" s="1" t="s">
        <v>232</v>
      </c>
      <c r="B86" s="1" t="s">
        <v>233</v>
      </c>
      <c r="C86" s="1" t="s">
        <v>36</v>
      </c>
      <c r="D86" s="1" t="s">
        <v>37</v>
      </c>
      <c r="E86" s="1" t="s">
        <v>14</v>
      </c>
      <c r="F86" s="2">
        <v>42787</v>
      </c>
      <c r="G86" s="1">
        <v>10800</v>
      </c>
      <c r="H86" s="1">
        <v>5</v>
      </c>
      <c r="I86" s="1" t="s">
        <v>15</v>
      </c>
      <c r="J86" s="1" t="s">
        <v>23</v>
      </c>
    </row>
    <row r="87" spans="1:10">
      <c r="A87" s="1" t="s">
        <v>234</v>
      </c>
      <c r="B87" s="1" t="s">
        <v>235</v>
      </c>
      <c r="C87" s="1" t="s">
        <v>59</v>
      </c>
      <c r="D87" s="1" t="s">
        <v>127</v>
      </c>
      <c r="E87" s="1" t="s">
        <v>14</v>
      </c>
      <c r="F87" s="2">
        <v>45880</v>
      </c>
      <c r="G87" s="1">
        <v>23000</v>
      </c>
      <c r="H87" s="1">
        <v>4</v>
      </c>
      <c r="I87" s="1" t="s">
        <v>15</v>
      </c>
      <c r="J87" s="1" t="s">
        <v>16</v>
      </c>
    </row>
    <row r="88" spans="1:10">
      <c r="A88" s="1" t="s">
        <v>236</v>
      </c>
      <c r="B88" s="1" t="s">
        <v>165</v>
      </c>
      <c r="C88" s="1" t="s">
        <v>27</v>
      </c>
      <c r="D88" s="1" t="s">
        <v>109</v>
      </c>
      <c r="E88" s="1" t="s">
        <v>14</v>
      </c>
      <c r="F88" s="2">
        <v>43283</v>
      </c>
      <c r="G88" s="1">
        <v>8200</v>
      </c>
      <c r="H88" s="1">
        <v>2</v>
      </c>
      <c r="I88" s="1" t="s">
        <v>15</v>
      </c>
      <c r="J88" s="1" t="s">
        <v>16</v>
      </c>
    </row>
    <row r="89" spans="1:10">
      <c r="A89" s="1" t="s">
        <v>237</v>
      </c>
      <c r="B89" s="1" t="s">
        <v>238</v>
      </c>
      <c r="C89" s="1" t="s">
        <v>12</v>
      </c>
      <c r="D89" s="1" t="s">
        <v>64</v>
      </c>
      <c r="E89" s="1" t="s">
        <v>14</v>
      </c>
      <c r="F89" s="2">
        <v>45453</v>
      </c>
      <c r="G89" s="1">
        <v>12300</v>
      </c>
      <c r="H89" s="1">
        <v>3</v>
      </c>
      <c r="I89" s="1" t="s">
        <v>15</v>
      </c>
      <c r="J89" s="1" t="s">
        <v>16</v>
      </c>
    </row>
    <row r="90" spans="1:10">
      <c r="A90" s="1" t="s">
        <v>239</v>
      </c>
      <c r="B90" s="1" t="s">
        <v>240</v>
      </c>
      <c r="C90" s="1" t="s">
        <v>68</v>
      </c>
      <c r="D90" s="1" t="s">
        <v>177</v>
      </c>
      <c r="E90" s="1" t="s">
        <v>14</v>
      </c>
      <c r="F90" s="2">
        <v>43493</v>
      </c>
      <c r="G90" s="1">
        <v>11500</v>
      </c>
      <c r="H90" s="1">
        <v>5</v>
      </c>
      <c r="I90" s="1" t="s">
        <v>15</v>
      </c>
      <c r="J90" s="1" t="s">
        <v>55</v>
      </c>
    </row>
    <row r="91" spans="1:10">
      <c r="A91" s="1" t="s">
        <v>241</v>
      </c>
      <c r="B91" s="1" t="s">
        <v>242</v>
      </c>
      <c r="C91" s="1" t="s">
        <v>68</v>
      </c>
      <c r="D91" s="1" t="s">
        <v>177</v>
      </c>
      <c r="E91" s="1" t="s">
        <v>14</v>
      </c>
      <c r="F91" s="2">
        <v>41966</v>
      </c>
      <c r="G91" s="1">
        <v>9500</v>
      </c>
      <c r="H91" s="1">
        <v>4</v>
      </c>
      <c r="I91" s="1" t="s">
        <v>15</v>
      </c>
      <c r="J91" s="1" t="s">
        <v>23</v>
      </c>
    </row>
    <row r="92" spans="1:10">
      <c r="A92" s="1" t="s">
        <v>243</v>
      </c>
      <c r="B92" s="1" t="s">
        <v>113</v>
      </c>
      <c r="C92" s="1" t="s">
        <v>12</v>
      </c>
      <c r="D92" s="1" t="s">
        <v>32</v>
      </c>
      <c r="E92" s="1" t="s">
        <v>22</v>
      </c>
      <c r="F92" s="2">
        <v>46257</v>
      </c>
      <c r="G92" s="1">
        <v>9700</v>
      </c>
      <c r="H92" s="1">
        <v>4</v>
      </c>
      <c r="I92" s="1" t="s">
        <v>15</v>
      </c>
      <c r="J92" s="1" t="s">
        <v>29</v>
      </c>
    </row>
    <row r="93" spans="1:10">
      <c r="A93" s="1" t="s">
        <v>244</v>
      </c>
      <c r="B93" s="1" t="s">
        <v>245</v>
      </c>
      <c r="C93" s="1" t="s">
        <v>12</v>
      </c>
      <c r="D93" s="1" t="s">
        <v>32</v>
      </c>
      <c r="E93" s="1" t="s">
        <v>22</v>
      </c>
      <c r="F93" s="2">
        <v>41934</v>
      </c>
      <c r="G93" s="1">
        <v>11500</v>
      </c>
      <c r="H93" s="1">
        <v>2</v>
      </c>
      <c r="I93" s="1" t="s">
        <v>15</v>
      </c>
      <c r="J93" s="1" t="s">
        <v>23</v>
      </c>
    </row>
    <row r="94" spans="1:10">
      <c r="A94" s="1" t="s">
        <v>246</v>
      </c>
      <c r="B94" s="1" t="s">
        <v>247</v>
      </c>
      <c r="C94" s="1" t="s">
        <v>27</v>
      </c>
      <c r="D94" s="1" t="s">
        <v>28</v>
      </c>
      <c r="E94" s="1" t="s">
        <v>14</v>
      </c>
      <c r="F94" s="2">
        <v>44783</v>
      </c>
      <c r="G94" s="1">
        <v>12600</v>
      </c>
      <c r="H94" s="1">
        <v>3</v>
      </c>
      <c r="I94" s="1" t="s">
        <v>15</v>
      </c>
      <c r="J94" s="1" t="s">
        <v>16</v>
      </c>
    </row>
    <row r="95" spans="1:10">
      <c r="A95" s="1" t="s">
        <v>248</v>
      </c>
      <c r="B95" s="1" t="s">
        <v>238</v>
      </c>
      <c r="C95" s="1" t="s">
        <v>20</v>
      </c>
      <c r="D95" s="1" t="s">
        <v>150</v>
      </c>
      <c r="E95" s="1" t="s">
        <v>14</v>
      </c>
      <c r="F95" s="2">
        <v>43332</v>
      </c>
      <c r="G95" s="1">
        <v>14100</v>
      </c>
      <c r="H95" s="1">
        <v>4</v>
      </c>
      <c r="I95" s="1" t="s">
        <v>15</v>
      </c>
      <c r="J95" s="1" t="s">
        <v>16</v>
      </c>
    </row>
    <row r="96" spans="1:10">
      <c r="A96" s="1" t="s">
        <v>249</v>
      </c>
      <c r="B96" s="1" t="s">
        <v>250</v>
      </c>
      <c r="C96" s="1" t="s">
        <v>20</v>
      </c>
      <c r="D96" s="1" t="s">
        <v>75</v>
      </c>
      <c r="E96" s="1" t="s">
        <v>14</v>
      </c>
      <c r="F96" s="2">
        <v>41806</v>
      </c>
      <c r="G96" s="1">
        <v>9900</v>
      </c>
      <c r="H96" s="1">
        <v>3</v>
      </c>
      <c r="I96" s="1" t="s">
        <v>15</v>
      </c>
      <c r="J96" s="1" t="s">
        <v>16</v>
      </c>
    </row>
    <row r="97" spans="1:10">
      <c r="A97" s="1" t="s">
        <v>251</v>
      </c>
      <c r="B97" s="1" t="s">
        <v>252</v>
      </c>
      <c r="C97" s="1" t="s">
        <v>121</v>
      </c>
      <c r="D97" s="1" t="s">
        <v>122</v>
      </c>
      <c r="E97" s="1" t="s">
        <v>14</v>
      </c>
      <c r="F97" s="2">
        <v>45349</v>
      </c>
      <c r="G97" s="1">
        <v>11700</v>
      </c>
      <c r="H97" s="1">
        <v>4</v>
      </c>
      <c r="I97" s="1" t="s">
        <v>15</v>
      </c>
      <c r="J97" s="1" t="s">
        <v>23</v>
      </c>
    </row>
    <row r="98" spans="1:10">
      <c r="A98" s="1" t="s">
        <v>253</v>
      </c>
      <c r="B98" s="1" t="s">
        <v>254</v>
      </c>
      <c r="C98" s="1" t="s">
        <v>59</v>
      </c>
      <c r="D98" s="1" t="s">
        <v>118</v>
      </c>
      <c r="E98" s="1" t="s">
        <v>14</v>
      </c>
      <c r="F98" s="2">
        <v>44320</v>
      </c>
      <c r="G98" s="1">
        <v>6000</v>
      </c>
      <c r="H98" s="1">
        <v>3</v>
      </c>
      <c r="I98" s="1" t="s">
        <v>15</v>
      </c>
      <c r="J98" s="1" t="s">
        <v>29</v>
      </c>
    </row>
    <row r="99" spans="1:10">
      <c r="A99" s="1" t="s">
        <v>255</v>
      </c>
      <c r="B99" s="1" t="s">
        <v>240</v>
      </c>
      <c r="C99" s="1" t="s">
        <v>47</v>
      </c>
      <c r="D99" s="1" t="s">
        <v>256</v>
      </c>
      <c r="E99" s="1" t="s">
        <v>14</v>
      </c>
      <c r="F99" s="2">
        <v>45058</v>
      </c>
      <c r="G99" s="1">
        <v>13900</v>
      </c>
      <c r="H99" s="1">
        <v>4</v>
      </c>
      <c r="I99" s="1" t="s">
        <v>15</v>
      </c>
      <c r="J99" s="1" t="s">
        <v>55</v>
      </c>
    </row>
    <row r="100" spans="1:10">
      <c r="A100" s="1" t="s">
        <v>257</v>
      </c>
      <c r="B100" s="1" t="s">
        <v>258</v>
      </c>
      <c r="C100" s="1" t="s">
        <v>68</v>
      </c>
      <c r="D100" s="1" t="s">
        <v>91</v>
      </c>
      <c r="E100" s="1" t="s">
        <v>14</v>
      </c>
      <c r="F100" s="2">
        <v>42323</v>
      </c>
      <c r="G100" s="1">
        <v>6500</v>
      </c>
      <c r="H100" s="1">
        <v>3</v>
      </c>
      <c r="I100" s="1" t="s">
        <v>15</v>
      </c>
      <c r="J100" s="1" t="s">
        <v>29</v>
      </c>
    </row>
    <row r="101" spans="1:10">
      <c r="A101" s="1" t="s">
        <v>259</v>
      </c>
      <c r="B101" s="1" t="s">
        <v>149</v>
      </c>
      <c r="C101" s="1" t="s">
        <v>27</v>
      </c>
      <c r="D101" s="1" t="s">
        <v>43</v>
      </c>
      <c r="E101" s="1" t="s">
        <v>14</v>
      </c>
      <c r="F101" s="2">
        <v>42436</v>
      </c>
      <c r="G101" s="1">
        <v>13300</v>
      </c>
      <c r="H101" s="1">
        <v>2</v>
      </c>
      <c r="I101" s="1" t="s">
        <v>135</v>
      </c>
      <c r="J101" s="1" t="s">
        <v>16</v>
      </c>
    </row>
    <row r="102" spans="1:10">
      <c r="A102" s="1" t="s">
        <v>260</v>
      </c>
      <c r="B102" s="1" t="s">
        <v>261</v>
      </c>
      <c r="C102" s="1" t="s">
        <v>20</v>
      </c>
      <c r="D102" s="1" t="s">
        <v>75</v>
      </c>
      <c r="E102" s="1" t="s">
        <v>22</v>
      </c>
      <c r="F102" s="2">
        <v>42876</v>
      </c>
      <c r="G102" s="1">
        <v>9800</v>
      </c>
      <c r="H102" s="1">
        <v>2</v>
      </c>
      <c r="I102" s="1" t="s">
        <v>15</v>
      </c>
      <c r="J102" s="1" t="s">
        <v>16</v>
      </c>
    </row>
    <row r="103" spans="1:10">
      <c r="A103" s="1" t="s">
        <v>262</v>
      </c>
      <c r="B103" s="1" t="s">
        <v>85</v>
      </c>
      <c r="C103" s="1" t="s">
        <v>27</v>
      </c>
      <c r="D103" s="1" t="s">
        <v>28</v>
      </c>
      <c r="E103" s="1" t="s">
        <v>14</v>
      </c>
      <c r="F103" s="2">
        <v>43770</v>
      </c>
      <c r="G103" s="1">
        <v>12500</v>
      </c>
      <c r="H103" s="1">
        <v>4</v>
      </c>
      <c r="I103" s="1" t="s">
        <v>15</v>
      </c>
      <c r="J103" s="1" t="s">
        <v>44</v>
      </c>
    </row>
    <row r="104" spans="1:10">
      <c r="A104" s="1" t="s">
        <v>263</v>
      </c>
      <c r="B104" s="1" t="s">
        <v>264</v>
      </c>
      <c r="C104" s="1" t="s">
        <v>121</v>
      </c>
      <c r="D104" s="1" t="s">
        <v>122</v>
      </c>
      <c r="E104" s="1" t="s">
        <v>14</v>
      </c>
      <c r="F104" s="2">
        <v>43909</v>
      </c>
      <c r="G104" s="1">
        <v>10900</v>
      </c>
      <c r="H104" s="1">
        <v>4</v>
      </c>
      <c r="I104" s="1" t="s">
        <v>61</v>
      </c>
      <c r="J104" s="1" t="s">
        <v>29</v>
      </c>
    </row>
    <row r="105" spans="1:10">
      <c r="A105" s="1" t="s">
        <v>265</v>
      </c>
      <c r="B105" s="1" t="s">
        <v>266</v>
      </c>
      <c r="C105" s="1" t="s">
        <v>59</v>
      </c>
      <c r="D105" s="1" t="s">
        <v>118</v>
      </c>
      <c r="E105" s="1" t="s">
        <v>22</v>
      </c>
      <c r="F105" s="2">
        <v>43889</v>
      </c>
      <c r="G105" s="1">
        <v>8800</v>
      </c>
      <c r="H105" s="1">
        <v>5</v>
      </c>
      <c r="I105" s="1" t="s">
        <v>15</v>
      </c>
      <c r="J105" s="1" t="s">
        <v>16</v>
      </c>
    </row>
    <row r="106" spans="1:10">
      <c r="A106" s="1" t="s">
        <v>267</v>
      </c>
      <c r="B106" s="1" t="s">
        <v>268</v>
      </c>
      <c r="C106" s="1" t="s">
        <v>68</v>
      </c>
      <c r="D106" s="1" t="s">
        <v>91</v>
      </c>
      <c r="E106" s="1" t="s">
        <v>22</v>
      </c>
      <c r="F106" s="2">
        <v>43289</v>
      </c>
      <c r="G106" s="1">
        <v>7600</v>
      </c>
      <c r="H106" s="1">
        <v>4</v>
      </c>
      <c r="I106" s="1" t="s">
        <v>61</v>
      </c>
      <c r="J106" s="1" t="s">
        <v>29</v>
      </c>
    </row>
    <row r="107" spans="1:10">
      <c r="A107" s="1" t="s">
        <v>269</v>
      </c>
      <c r="B107" s="1" t="s">
        <v>270</v>
      </c>
      <c r="C107" s="1" t="s">
        <v>47</v>
      </c>
      <c r="D107" s="1" t="s">
        <v>48</v>
      </c>
      <c r="E107" s="1" t="s">
        <v>14</v>
      </c>
      <c r="F107" s="2">
        <v>45901</v>
      </c>
      <c r="G107" s="1">
        <v>9700</v>
      </c>
      <c r="H107" s="1">
        <v>3</v>
      </c>
      <c r="I107" s="1" t="s">
        <v>15</v>
      </c>
      <c r="J107" s="1" t="s">
        <v>55</v>
      </c>
    </row>
    <row r="108" spans="1:10">
      <c r="A108" s="1" t="s">
        <v>271</v>
      </c>
      <c r="B108" s="1" t="s">
        <v>272</v>
      </c>
      <c r="C108" s="1" t="s">
        <v>59</v>
      </c>
      <c r="D108" s="1" t="s">
        <v>106</v>
      </c>
      <c r="E108" s="1" t="s">
        <v>14</v>
      </c>
      <c r="F108" s="2">
        <v>45773</v>
      </c>
      <c r="G108" s="1">
        <v>8500</v>
      </c>
      <c r="H108" s="1">
        <v>3</v>
      </c>
      <c r="I108" s="1" t="s">
        <v>135</v>
      </c>
      <c r="J108" s="1" t="s">
        <v>29</v>
      </c>
    </row>
    <row r="109" spans="1:10">
      <c r="A109" s="1" t="s">
        <v>273</v>
      </c>
      <c r="B109" s="1" t="s">
        <v>274</v>
      </c>
      <c r="C109" s="1" t="s">
        <v>12</v>
      </c>
      <c r="D109" s="1" t="s">
        <v>64</v>
      </c>
      <c r="E109" s="1" t="s">
        <v>22</v>
      </c>
      <c r="F109" s="2">
        <v>42157</v>
      </c>
      <c r="G109" s="1">
        <v>12300</v>
      </c>
      <c r="H109" s="1">
        <v>3</v>
      </c>
      <c r="I109" s="1" t="s">
        <v>15</v>
      </c>
      <c r="J109" s="1" t="s">
        <v>23</v>
      </c>
    </row>
    <row r="110" spans="1:10">
      <c r="A110" s="1" t="s">
        <v>275</v>
      </c>
      <c r="B110" s="1" t="s">
        <v>276</v>
      </c>
      <c r="C110" s="1" t="s">
        <v>20</v>
      </c>
      <c r="D110" s="1" t="s">
        <v>277</v>
      </c>
      <c r="E110" s="1" t="s">
        <v>22</v>
      </c>
      <c r="F110" s="2">
        <v>43071</v>
      </c>
      <c r="G110" s="1">
        <v>6900</v>
      </c>
      <c r="H110" s="1">
        <v>3</v>
      </c>
      <c r="I110" s="1" t="s">
        <v>15</v>
      </c>
      <c r="J110" s="1" t="s">
        <v>16</v>
      </c>
    </row>
    <row r="111" spans="1:10">
      <c r="A111" s="1" t="s">
        <v>278</v>
      </c>
      <c r="B111" s="1" t="s">
        <v>242</v>
      </c>
      <c r="C111" s="1" t="s">
        <v>20</v>
      </c>
      <c r="D111" s="1" t="s">
        <v>277</v>
      </c>
      <c r="E111" s="1" t="s">
        <v>14</v>
      </c>
      <c r="F111" s="2">
        <v>43949</v>
      </c>
      <c r="G111" s="1">
        <v>6600</v>
      </c>
      <c r="H111" s="1">
        <v>4</v>
      </c>
      <c r="I111" s="1" t="s">
        <v>15</v>
      </c>
      <c r="J111" s="1" t="s">
        <v>55</v>
      </c>
    </row>
    <row r="112" spans="1:10">
      <c r="A112" s="1" t="s">
        <v>279</v>
      </c>
      <c r="B112" s="1" t="s">
        <v>129</v>
      </c>
      <c r="C112" s="1" t="s">
        <v>59</v>
      </c>
      <c r="D112" s="1" t="s">
        <v>127</v>
      </c>
      <c r="E112" s="1" t="s">
        <v>22</v>
      </c>
      <c r="F112" s="2">
        <v>44356</v>
      </c>
      <c r="G112" s="1">
        <v>21200</v>
      </c>
      <c r="H112" s="1">
        <v>3</v>
      </c>
      <c r="I112" s="1" t="s">
        <v>135</v>
      </c>
      <c r="J112" s="1" t="s">
        <v>55</v>
      </c>
    </row>
    <row r="113" spans="1:10">
      <c r="A113" s="1" t="s">
        <v>280</v>
      </c>
      <c r="B113" s="1" t="s">
        <v>281</v>
      </c>
      <c r="C113" s="1" t="s">
        <v>12</v>
      </c>
      <c r="D113" s="1" t="s">
        <v>64</v>
      </c>
      <c r="E113" s="1" t="s">
        <v>22</v>
      </c>
      <c r="F113" s="2">
        <v>41841</v>
      </c>
      <c r="G113" s="1">
        <v>11900</v>
      </c>
      <c r="H113" s="1">
        <v>3</v>
      </c>
      <c r="I113" s="1" t="s">
        <v>15</v>
      </c>
      <c r="J113" s="1" t="s">
        <v>16</v>
      </c>
    </row>
    <row r="114" spans="1:10">
      <c r="A114" s="1" t="s">
        <v>282</v>
      </c>
      <c r="B114" s="1" t="s">
        <v>283</v>
      </c>
      <c r="C114" s="1" t="s">
        <v>68</v>
      </c>
      <c r="D114" s="1" t="s">
        <v>69</v>
      </c>
      <c r="E114" s="1" t="s">
        <v>22</v>
      </c>
      <c r="F114" s="2">
        <v>45818</v>
      </c>
      <c r="G114" s="1">
        <v>12700</v>
      </c>
      <c r="H114" s="1">
        <v>4</v>
      </c>
      <c r="I114" s="1" t="s">
        <v>15</v>
      </c>
      <c r="J114" s="1" t="s">
        <v>29</v>
      </c>
    </row>
    <row r="115" spans="1:10">
      <c r="A115" s="1" t="s">
        <v>284</v>
      </c>
      <c r="B115" s="1" t="s">
        <v>285</v>
      </c>
      <c r="C115" s="1" t="s">
        <v>59</v>
      </c>
      <c r="D115" s="1" t="s">
        <v>86</v>
      </c>
      <c r="E115" s="1" t="s">
        <v>22</v>
      </c>
      <c r="F115" s="2">
        <v>45517</v>
      </c>
      <c r="G115" s="1">
        <v>9700</v>
      </c>
      <c r="H115" s="1">
        <v>4</v>
      </c>
      <c r="I115" s="1" t="s">
        <v>15</v>
      </c>
      <c r="J115" s="1" t="s">
        <v>16</v>
      </c>
    </row>
    <row r="116" spans="1:10">
      <c r="A116" s="1" t="s">
        <v>286</v>
      </c>
      <c r="B116" s="1" t="s">
        <v>287</v>
      </c>
      <c r="C116" s="1" t="s">
        <v>121</v>
      </c>
      <c r="D116" s="1" t="s">
        <v>288</v>
      </c>
      <c r="E116" s="1" t="s">
        <v>14</v>
      </c>
      <c r="F116" s="2">
        <v>41828</v>
      </c>
      <c r="G116" s="1">
        <v>11300</v>
      </c>
      <c r="H116" s="1">
        <v>4</v>
      </c>
      <c r="I116" s="1" t="s">
        <v>135</v>
      </c>
      <c r="J116" s="1" t="s">
        <v>16</v>
      </c>
    </row>
    <row r="117" spans="1:10">
      <c r="A117" s="1" t="s">
        <v>289</v>
      </c>
      <c r="B117" s="1" t="s">
        <v>290</v>
      </c>
      <c r="C117" s="1" t="s">
        <v>68</v>
      </c>
      <c r="D117" s="1" t="s">
        <v>177</v>
      </c>
      <c r="E117" s="1" t="s">
        <v>14</v>
      </c>
      <c r="F117" s="2">
        <v>43571</v>
      </c>
      <c r="G117" s="1">
        <v>12600</v>
      </c>
      <c r="H117" s="1">
        <v>4</v>
      </c>
      <c r="I117" s="1" t="s">
        <v>61</v>
      </c>
      <c r="J117" s="1" t="s">
        <v>29</v>
      </c>
    </row>
    <row r="118" spans="1:10">
      <c r="A118" s="1" t="s">
        <v>291</v>
      </c>
      <c r="B118" s="1" t="s">
        <v>292</v>
      </c>
      <c r="C118" s="1" t="s">
        <v>36</v>
      </c>
      <c r="D118" s="1" t="s">
        <v>37</v>
      </c>
      <c r="E118" s="1" t="s">
        <v>22</v>
      </c>
      <c r="F118" s="2">
        <v>44024</v>
      </c>
      <c r="G118" s="1">
        <v>12300</v>
      </c>
      <c r="H118" s="1">
        <v>4</v>
      </c>
      <c r="I118" s="1" t="s">
        <v>15</v>
      </c>
      <c r="J118" s="1" t="s">
        <v>16</v>
      </c>
    </row>
    <row r="119" spans="1:10">
      <c r="A119" s="1" t="s">
        <v>293</v>
      </c>
      <c r="B119" s="1" t="s">
        <v>294</v>
      </c>
      <c r="C119" s="1" t="s">
        <v>27</v>
      </c>
      <c r="D119" s="1" t="s">
        <v>28</v>
      </c>
      <c r="E119" s="1" t="s">
        <v>14</v>
      </c>
      <c r="F119" s="2">
        <v>44456</v>
      </c>
      <c r="G119" s="1">
        <v>13000</v>
      </c>
      <c r="H119" s="1">
        <v>5</v>
      </c>
      <c r="I119" s="1" t="s">
        <v>15</v>
      </c>
      <c r="J119" s="1" t="s">
        <v>16</v>
      </c>
    </row>
    <row r="120" spans="1:10">
      <c r="A120" s="1" t="s">
        <v>295</v>
      </c>
      <c r="B120" s="1" t="s">
        <v>296</v>
      </c>
      <c r="C120" s="1" t="s">
        <v>68</v>
      </c>
      <c r="D120" s="1" t="s">
        <v>96</v>
      </c>
      <c r="E120" s="1" t="s">
        <v>22</v>
      </c>
      <c r="F120" s="2">
        <v>41674</v>
      </c>
      <c r="G120" s="1">
        <v>22700</v>
      </c>
      <c r="H120" s="1">
        <v>2</v>
      </c>
      <c r="I120" s="1" t="s">
        <v>15</v>
      </c>
      <c r="J120" s="1" t="s">
        <v>16</v>
      </c>
    </row>
    <row r="121" spans="1:10">
      <c r="A121" s="1" t="s">
        <v>297</v>
      </c>
      <c r="B121" s="1" t="s">
        <v>298</v>
      </c>
      <c r="C121" s="1" t="s">
        <v>20</v>
      </c>
      <c r="D121" s="1" t="s">
        <v>75</v>
      </c>
      <c r="E121" s="1" t="s">
        <v>22</v>
      </c>
      <c r="F121" s="2">
        <v>43424</v>
      </c>
      <c r="G121" s="1">
        <v>11700</v>
      </c>
      <c r="H121" s="1">
        <v>3</v>
      </c>
      <c r="I121" s="1" t="s">
        <v>15</v>
      </c>
      <c r="J121" s="1" t="s">
        <v>29</v>
      </c>
    </row>
    <row r="122" spans="1:10">
      <c r="A122" s="1" t="s">
        <v>299</v>
      </c>
      <c r="B122" s="1" t="s">
        <v>300</v>
      </c>
      <c r="C122" s="1" t="s">
        <v>12</v>
      </c>
      <c r="D122" s="1" t="s">
        <v>132</v>
      </c>
      <c r="E122" s="1" t="s">
        <v>22</v>
      </c>
      <c r="F122" s="2">
        <v>43986</v>
      </c>
      <c r="G122" s="1">
        <v>17200</v>
      </c>
      <c r="H122" s="1">
        <v>3</v>
      </c>
      <c r="I122" s="1" t="s">
        <v>135</v>
      </c>
      <c r="J122" s="1" t="s">
        <v>23</v>
      </c>
    </row>
    <row r="123" spans="1:10">
      <c r="A123" s="1" t="s">
        <v>301</v>
      </c>
      <c r="B123" s="1" t="s">
        <v>302</v>
      </c>
      <c r="C123" s="1" t="s">
        <v>27</v>
      </c>
      <c r="D123" s="1" t="s">
        <v>43</v>
      </c>
      <c r="E123" s="1" t="s">
        <v>14</v>
      </c>
      <c r="F123" s="2">
        <v>45366</v>
      </c>
      <c r="G123" s="1">
        <v>14100</v>
      </c>
      <c r="H123" s="1">
        <v>4</v>
      </c>
      <c r="I123" s="1" t="s">
        <v>15</v>
      </c>
      <c r="J123" s="1" t="s">
        <v>44</v>
      </c>
    </row>
    <row r="124" spans="1:10">
      <c r="A124" s="1" t="s">
        <v>303</v>
      </c>
      <c r="B124" s="1" t="s">
        <v>304</v>
      </c>
      <c r="C124" s="1" t="s">
        <v>47</v>
      </c>
      <c r="D124" s="1" t="s">
        <v>48</v>
      </c>
      <c r="E124" s="1" t="s">
        <v>22</v>
      </c>
      <c r="F124" s="2">
        <v>42400</v>
      </c>
      <c r="G124" s="1">
        <v>10600</v>
      </c>
      <c r="H124" s="1">
        <v>2</v>
      </c>
      <c r="I124" s="1" t="s">
        <v>135</v>
      </c>
      <c r="J124" s="1" t="s">
        <v>16</v>
      </c>
    </row>
    <row r="125" spans="1:10">
      <c r="A125" s="1" t="s">
        <v>305</v>
      </c>
      <c r="B125" s="1" t="s">
        <v>154</v>
      </c>
      <c r="C125" s="1" t="s">
        <v>27</v>
      </c>
      <c r="D125" s="1" t="s">
        <v>28</v>
      </c>
      <c r="E125" s="1" t="s">
        <v>14</v>
      </c>
      <c r="F125" s="2">
        <v>43490</v>
      </c>
      <c r="G125" s="1">
        <v>13000</v>
      </c>
      <c r="H125" s="1">
        <v>4</v>
      </c>
      <c r="I125" s="1" t="s">
        <v>15</v>
      </c>
      <c r="J125" s="1" t="s">
        <v>16</v>
      </c>
    </row>
    <row r="126" spans="1:10">
      <c r="A126" s="1" t="s">
        <v>306</v>
      </c>
      <c r="B126" s="1" t="s">
        <v>292</v>
      </c>
      <c r="C126" s="1" t="s">
        <v>121</v>
      </c>
      <c r="D126" s="1" t="s">
        <v>163</v>
      </c>
      <c r="E126" s="1" t="s">
        <v>22</v>
      </c>
      <c r="F126" s="2">
        <v>45923</v>
      </c>
      <c r="G126" s="1">
        <v>8700</v>
      </c>
      <c r="H126" s="1">
        <v>4</v>
      </c>
      <c r="I126" s="1" t="s">
        <v>15</v>
      </c>
      <c r="J126" s="1" t="s">
        <v>29</v>
      </c>
    </row>
    <row r="127" spans="1:10">
      <c r="A127" s="1" t="s">
        <v>307</v>
      </c>
      <c r="B127" s="1" t="s">
        <v>308</v>
      </c>
      <c r="C127" s="1" t="s">
        <v>27</v>
      </c>
      <c r="D127" s="1" t="s">
        <v>28</v>
      </c>
      <c r="E127" s="1" t="s">
        <v>14</v>
      </c>
      <c r="F127" s="2">
        <v>44597</v>
      </c>
      <c r="G127" s="1">
        <v>11600</v>
      </c>
      <c r="H127" s="1">
        <v>1</v>
      </c>
      <c r="I127" s="1" t="s">
        <v>15</v>
      </c>
      <c r="J127" s="1" t="s">
        <v>16</v>
      </c>
    </row>
    <row r="128" spans="1:10">
      <c r="A128" s="1" t="s">
        <v>309</v>
      </c>
      <c r="B128" s="1" t="s">
        <v>310</v>
      </c>
      <c r="C128" s="1" t="s">
        <v>27</v>
      </c>
      <c r="D128" s="1" t="s">
        <v>43</v>
      </c>
      <c r="E128" s="1" t="s">
        <v>22</v>
      </c>
      <c r="F128" s="2">
        <v>45011</v>
      </c>
      <c r="G128" s="1">
        <v>14400</v>
      </c>
      <c r="H128" s="1">
        <v>5</v>
      </c>
      <c r="I128" s="1" t="s">
        <v>15</v>
      </c>
      <c r="J128" s="1" t="s">
        <v>29</v>
      </c>
    </row>
    <row r="129" spans="1:10">
      <c r="A129" s="1" t="s">
        <v>311</v>
      </c>
      <c r="B129" s="1" t="s">
        <v>312</v>
      </c>
      <c r="C129" s="1" t="s">
        <v>59</v>
      </c>
      <c r="D129" s="1" t="s">
        <v>86</v>
      </c>
      <c r="E129" s="1" t="s">
        <v>14</v>
      </c>
      <c r="F129" s="2">
        <v>46149</v>
      </c>
      <c r="G129" s="1">
        <v>9800</v>
      </c>
      <c r="H129" s="1">
        <v>3</v>
      </c>
      <c r="I129" s="1" t="s">
        <v>15</v>
      </c>
      <c r="J129" s="1" t="s">
        <v>16</v>
      </c>
    </row>
    <row r="130" spans="1:10">
      <c r="A130" s="1" t="s">
        <v>313</v>
      </c>
      <c r="B130" s="1" t="s">
        <v>314</v>
      </c>
      <c r="C130" s="1" t="s">
        <v>20</v>
      </c>
      <c r="D130" s="1" t="s">
        <v>75</v>
      </c>
      <c r="E130" s="1" t="s">
        <v>14</v>
      </c>
      <c r="F130" s="2">
        <v>43367</v>
      </c>
      <c r="G130" s="1">
        <v>12600</v>
      </c>
      <c r="H130" s="1">
        <v>4</v>
      </c>
      <c r="I130" s="1" t="s">
        <v>15</v>
      </c>
      <c r="J130" s="1" t="s">
        <v>29</v>
      </c>
    </row>
    <row r="131" spans="1:10">
      <c r="A131" s="1" t="s">
        <v>315</v>
      </c>
      <c r="B131" s="1" t="s">
        <v>316</v>
      </c>
      <c r="C131" s="1" t="s">
        <v>47</v>
      </c>
      <c r="D131" s="1" t="s">
        <v>317</v>
      </c>
      <c r="E131" s="1" t="s">
        <v>14</v>
      </c>
      <c r="F131" s="2">
        <v>43170</v>
      </c>
      <c r="G131" s="1">
        <v>7700</v>
      </c>
      <c r="H131" s="1">
        <v>4</v>
      </c>
      <c r="I131" s="1" t="s">
        <v>15</v>
      </c>
      <c r="J131" s="1" t="s">
        <v>44</v>
      </c>
    </row>
    <row r="132" spans="1:10">
      <c r="A132" s="1" t="s">
        <v>318</v>
      </c>
      <c r="B132" s="1" t="s">
        <v>319</v>
      </c>
      <c r="C132" s="1" t="s">
        <v>36</v>
      </c>
      <c r="D132" s="1" t="s">
        <v>320</v>
      </c>
      <c r="E132" s="1" t="s">
        <v>22</v>
      </c>
      <c r="F132" s="2">
        <v>44944</v>
      </c>
      <c r="G132" s="1">
        <v>5800</v>
      </c>
      <c r="H132" s="1">
        <v>3</v>
      </c>
      <c r="I132" s="1" t="s">
        <v>15</v>
      </c>
      <c r="J132" s="1" t="s">
        <v>29</v>
      </c>
    </row>
    <row r="133" spans="1:10">
      <c r="A133" s="1" t="s">
        <v>321</v>
      </c>
      <c r="B133" s="1" t="s">
        <v>322</v>
      </c>
      <c r="C133" s="1" t="s">
        <v>121</v>
      </c>
      <c r="D133" s="1" t="s">
        <v>288</v>
      </c>
      <c r="E133" s="1" t="s">
        <v>22</v>
      </c>
      <c r="F133" s="2">
        <v>44828</v>
      </c>
      <c r="G133" s="1">
        <v>11300</v>
      </c>
      <c r="H133" s="1">
        <v>3</v>
      </c>
      <c r="I133" s="1" t="s">
        <v>135</v>
      </c>
      <c r="J133" s="1" t="s">
        <v>29</v>
      </c>
    </row>
    <row r="134" spans="1:10">
      <c r="A134" s="1" t="s">
        <v>323</v>
      </c>
      <c r="B134" s="1" t="s">
        <v>324</v>
      </c>
      <c r="C134" s="1" t="s">
        <v>59</v>
      </c>
      <c r="D134" s="1" t="s">
        <v>60</v>
      </c>
      <c r="E134" s="1" t="s">
        <v>22</v>
      </c>
      <c r="F134" s="2">
        <v>42811</v>
      </c>
      <c r="G134" s="1">
        <v>16400</v>
      </c>
      <c r="H134" s="1">
        <v>3</v>
      </c>
      <c r="I134" s="1" t="s">
        <v>15</v>
      </c>
      <c r="J134" s="1" t="s">
        <v>16</v>
      </c>
    </row>
    <row r="135" spans="1:10">
      <c r="A135" s="1" t="s">
        <v>325</v>
      </c>
      <c r="B135" s="1" t="s">
        <v>326</v>
      </c>
      <c r="C135" s="1" t="s">
        <v>12</v>
      </c>
      <c r="D135" s="1" t="s">
        <v>64</v>
      </c>
      <c r="E135" s="1" t="s">
        <v>22</v>
      </c>
      <c r="F135" s="2">
        <v>44390</v>
      </c>
      <c r="G135" s="1">
        <v>11200</v>
      </c>
      <c r="H135" s="1">
        <v>4</v>
      </c>
      <c r="I135" s="1" t="s">
        <v>135</v>
      </c>
      <c r="J135" s="1" t="s">
        <v>29</v>
      </c>
    </row>
    <row r="136" spans="1:10">
      <c r="A136" s="1" t="s">
        <v>327</v>
      </c>
      <c r="B136" s="1" t="s">
        <v>328</v>
      </c>
      <c r="C136" s="1" t="s">
        <v>47</v>
      </c>
      <c r="D136" s="1" t="s">
        <v>48</v>
      </c>
      <c r="E136" s="1" t="s">
        <v>14</v>
      </c>
      <c r="F136" s="2">
        <v>43738</v>
      </c>
      <c r="G136" s="1">
        <v>9600</v>
      </c>
      <c r="H136" s="1">
        <v>5</v>
      </c>
      <c r="I136" s="1" t="s">
        <v>15</v>
      </c>
      <c r="J136" s="1" t="s">
        <v>55</v>
      </c>
    </row>
    <row r="137" spans="1:10">
      <c r="A137" s="1" t="s">
        <v>329</v>
      </c>
      <c r="B137" s="1" t="s">
        <v>330</v>
      </c>
      <c r="C137" s="1" t="s">
        <v>59</v>
      </c>
      <c r="D137" s="1" t="s">
        <v>86</v>
      </c>
      <c r="E137" s="1" t="s">
        <v>14</v>
      </c>
      <c r="F137" s="2">
        <v>42939</v>
      </c>
      <c r="G137" s="1">
        <v>10600</v>
      </c>
      <c r="H137" s="1">
        <v>4</v>
      </c>
      <c r="I137" s="1" t="s">
        <v>15</v>
      </c>
      <c r="J137" s="1" t="s">
        <v>55</v>
      </c>
    </row>
    <row r="138" spans="1:10">
      <c r="A138" s="1" t="s">
        <v>331</v>
      </c>
      <c r="B138" s="1" t="s">
        <v>332</v>
      </c>
      <c r="C138" s="1" t="s">
        <v>59</v>
      </c>
      <c r="D138" s="1" t="s">
        <v>106</v>
      </c>
      <c r="E138" s="1" t="s">
        <v>22</v>
      </c>
      <c r="F138" s="2">
        <v>44442</v>
      </c>
      <c r="G138" s="1">
        <v>10600</v>
      </c>
      <c r="H138" s="1">
        <v>3</v>
      </c>
      <c r="I138" s="1" t="s">
        <v>15</v>
      </c>
      <c r="J138" s="1" t="s">
        <v>29</v>
      </c>
    </row>
    <row r="139" spans="1:10">
      <c r="A139" s="1" t="s">
        <v>333</v>
      </c>
      <c r="B139" s="1" t="s">
        <v>334</v>
      </c>
      <c r="C139" s="1" t="s">
        <v>47</v>
      </c>
      <c r="D139" s="1" t="s">
        <v>48</v>
      </c>
      <c r="E139" s="1" t="s">
        <v>22</v>
      </c>
      <c r="F139" s="2">
        <v>42070</v>
      </c>
      <c r="G139" s="1">
        <v>10100</v>
      </c>
      <c r="H139" s="1">
        <v>4</v>
      </c>
      <c r="I139" s="1" t="s">
        <v>15</v>
      </c>
      <c r="J139" s="1" t="s">
        <v>23</v>
      </c>
    </row>
    <row r="140" spans="1:10">
      <c r="A140" s="1" t="s">
        <v>335</v>
      </c>
      <c r="B140" s="1" t="s">
        <v>63</v>
      </c>
      <c r="C140" s="1" t="s">
        <v>12</v>
      </c>
      <c r="D140" s="1" t="s">
        <v>64</v>
      </c>
      <c r="E140" s="1" t="s">
        <v>14</v>
      </c>
      <c r="F140" s="2">
        <v>46145</v>
      </c>
      <c r="G140" s="1">
        <v>11300</v>
      </c>
      <c r="H140" s="1">
        <v>4</v>
      </c>
      <c r="I140" s="1" t="s">
        <v>15</v>
      </c>
      <c r="J140" s="1" t="s">
        <v>29</v>
      </c>
    </row>
    <row r="141" spans="1:10">
      <c r="A141" s="1" t="s">
        <v>336</v>
      </c>
      <c r="B141" s="1" t="s">
        <v>337</v>
      </c>
      <c r="C141" s="1" t="s">
        <v>20</v>
      </c>
      <c r="D141" s="1" t="s">
        <v>21</v>
      </c>
      <c r="E141" s="1" t="s">
        <v>14</v>
      </c>
      <c r="F141" s="2">
        <v>44160</v>
      </c>
      <c r="G141" s="1">
        <v>6800</v>
      </c>
      <c r="H141" s="1">
        <v>3</v>
      </c>
      <c r="I141" s="1" t="s">
        <v>15</v>
      </c>
      <c r="J141" s="1" t="s">
        <v>44</v>
      </c>
    </row>
    <row r="142" spans="1:10">
      <c r="A142" s="1" t="s">
        <v>338</v>
      </c>
      <c r="B142" s="1" t="s">
        <v>339</v>
      </c>
      <c r="C142" s="1" t="s">
        <v>121</v>
      </c>
      <c r="D142" s="1" t="s">
        <v>163</v>
      </c>
      <c r="E142" s="1" t="s">
        <v>14</v>
      </c>
      <c r="F142" s="2">
        <v>42994</v>
      </c>
      <c r="G142" s="1">
        <v>6400</v>
      </c>
      <c r="H142" s="1">
        <v>4</v>
      </c>
      <c r="I142" s="1" t="s">
        <v>61</v>
      </c>
      <c r="J142" s="1" t="s">
        <v>29</v>
      </c>
    </row>
    <row r="143" spans="1:10">
      <c r="A143" s="1" t="s">
        <v>340</v>
      </c>
      <c r="B143" s="1" t="s">
        <v>341</v>
      </c>
      <c r="C143" s="1" t="s">
        <v>68</v>
      </c>
      <c r="D143" s="1" t="s">
        <v>177</v>
      </c>
      <c r="E143" s="1" t="s">
        <v>14</v>
      </c>
      <c r="F143" s="2">
        <v>43670</v>
      </c>
      <c r="G143" s="1">
        <v>9800</v>
      </c>
      <c r="H143" s="1">
        <v>3</v>
      </c>
      <c r="I143" s="1" t="s">
        <v>15</v>
      </c>
      <c r="J143" s="1" t="s">
        <v>16</v>
      </c>
    </row>
    <row r="144" spans="1:10">
      <c r="A144" s="1" t="s">
        <v>342</v>
      </c>
      <c r="B144" s="1" t="s">
        <v>105</v>
      </c>
      <c r="C144" s="1" t="s">
        <v>121</v>
      </c>
      <c r="D144" s="1" t="s">
        <v>180</v>
      </c>
      <c r="E144" s="1" t="s">
        <v>14</v>
      </c>
      <c r="F144" s="2">
        <v>41910</v>
      </c>
      <c r="G144" s="1">
        <v>19500</v>
      </c>
      <c r="H144" s="1">
        <v>3</v>
      </c>
      <c r="I144" s="1" t="s">
        <v>15</v>
      </c>
      <c r="J144" s="1" t="s">
        <v>29</v>
      </c>
    </row>
    <row r="145" spans="1:10">
      <c r="A145" s="1" t="s">
        <v>343</v>
      </c>
      <c r="B145" s="1" t="s">
        <v>344</v>
      </c>
      <c r="C145" s="1" t="s">
        <v>59</v>
      </c>
      <c r="D145" s="1" t="s">
        <v>106</v>
      </c>
      <c r="E145" s="1" t="s">
        <v>14</v>
      </c>
      <c r="F145" s="2">
        <v>45311</v>
      </c>
      <c r="G145" s="1">
        <v>8000</v>
      </c>
      <c r="H145" s="1">
        <v>3</v>
      </c>
      <c r="I145" s="1" t="s">
        <v>15</v>
      </c>
      <c r="J145" s="1" t="s">
        <v>16</v>
      </c>
    </row>
    <row r="146" spans="1:10">
      <c r="A146" s="1" t="s">
        <v>345</v>
      </c>
      <c r="B146" s="1" t="s">
        <v>346</v>
      </c>
      <c r="C146" s="1" t="s">
        <v>121</v>
      </c>
      <c r="D146" s="1" t="s">
        <v>288</v>
      </c>
      <c r="E146" s="1" t="s">
        <v>14</v>
      </c>
      <c r="F146" s="2">
        <v>43673</v>
      </c>
      <c r="G146" s="1">
        <v>8500</v>
      </c>
      <c r="H146" s="1">
        <v>2</v>
      </c>
      <c r="I146" s="1" t="s">
        <v>15</v>
      </c>
      <c r="J146" s="1" t="s">
        <v>29</v>
      </c>
    </row>
    <row r="147" spans="1:10">
      <c r="A147" s="1" t="s">
        <v>347</v>
      </c>
      <c r="B147" s="1" t="s">
        <v>242</v>
      </c>
      <c r="C147" s="1" t="s">
        <v>59</v>
      </c>
      <c r="D147" s="1" t="s">
        <v>60</v>
      </c>
      <c r="E147" s="1" t="s">
        <v>14</v>
      </c>
      <c r="F147" s="2">
        <v>44655</v>
      </c>
      <c r="G147" s="1">
        <v>12100</v>
      </c>
      <c r="H147" s="1">
        <v>4</v>
      </c>
      <c r="I147" s="1" t="s">
        <v>15</v>
      </c>
      <c r="J147" s="1" t="s">
        <v>16</v>
      </c>
    </row>
    <row r="148" spans="1:10">
      <c r="A148" s="1" t="s">
        <v>348</v>
      </c>
      <c r="B148" s="1" t="s">
        <v>349</v>
      </c>
      <c r="C148" s="1" t="s">
        <v>12</v>
      </c>
      <c r="D148" s="1" t="s">
        <v>32</v>
      </c>
      <c r="E148" s="1" t="s">
        <v>14</v>
      </c>
      <c r="F148" s="2">
        <v>44923</v>
      </c>
      <c r="G148" s="1">
        <v>9000</v>
      </c>
      <c r="H148" s="1">
        <v>4</v>
      </c>
      <c r="I148" s="1" t="s">
        <v>135</v>
      </c>
      <c r="J148" s="1" t="s">
        <v>16</v>
      </c>
    </row>
    <row r="149" spans="1:10">
      <c r="A149" s="1" t="s">
        <v>350</v>
      </c>
      <c r="B149" s="1" t="s">
        <v>351</v>
      </c>
      <c r="C149" s="1" t="s">
        <v>36</v>
      </c>
      <c r="D149" s="1" t="s">
        <v>320</v>
      </c>
      <c r="E149" s="1" t="s">
        <v>22</v>
      </c>
      <c r="F149" s="2">
        <v>42960</v>
      </c>
      <c r="G149" s="1">
        <v>6900</v>
      </c>
      <c r="H149" s="1">
        <v>4</v>
      </c>
      <c r="I149" s="1" t="s">
        <v>15</v>
      </c>
      <c r="J149" s="1" t="s">
        <v>29</v>
      </c>
    </row>
    <row r="150" spans="1:10">
      <c r="A150" s="1" t="s">
        <v>352</v>
      </c>
      <c r="B150" s="1" t="s">
        <v>353</v>
      </c>
      <c r="C150" s="1" t="s">
        <v>47</v>
      </c>
      <c r="D150" s="1" t="s">
        <v>317</v>
      </c>
      <c r="E150" s="1" t="s">
        <v>22</v>
      </c>
      <c r="F150" s="2">
        <v>43997</v>
      </c>
      <c r="G150" s="1">
        <v>9300</v>
      </c>
      <c r="H150" s="1">
        <v>3</v>
      </c>
      <c r="I150" s="1" t="s">
        <v>61</v>
      </c>
      <c r="J150" s="1" t="s">
        <v>29</v>
      </c>
    </row>
    <row r="151" spans="1:10">
      <c r="A151" s="1" t="s">
        <v>354</v>
      </c>
      <c r="B151" s="1" t="s">
        <v>355</v>
      </c>
      <c r="C151" s="1" t="s">
        <v>121</v>
      </c>
      <c r="D151" s="1" t="s">
        <v>288</v>
      </c>
      <c r="E151" s="1" t="s">
        <v>22</v>
      </c>
      <c r="F151" s="2">
        <v>41965</v>
      </c>
      <c r="G151" s="1">
        <v>9100</v>
      </c>
      <c r="H151" s="1">
        <v>4</v>
      </c>
      <c r="I151" s="1" t="s">
        <v>135</v>
      </c>
      <c r="J151" s="1" t="s">
        <v>16</v>
      </c>
    </row>
    <row r="152" spans="1:10">
      <c r="A152" s="1" t="s">
        <v>356</v>
      </c>
      <c r="B152" s="1" t="s">
        <v>290</v>
      </c>
      <c r="C152" s="1" t="s">
        <v>59</v>
      </c>
      <c r="D152" s="1" t="s">
        <v>86</v>
      </c>
      <c r="E152" s="1" t="s">
        <v>14</v>
      </c>
      <c r="F152" s="2">
        <v>46216</v>
      </c>
      <c r="G152" s="1">
        <v>13800</v>
      </c>
      <c r="H152" s="1">
        <v>5</v>
      </c>
      <c r="I152" s="1" t="s">
        <v>61</v>
      </c>
      <c r="J152" s="1" t="s">
        <v>29</v>
      </c>
    </row>
    <row r="153" spans="1:10">
      <c r="A153" s="1" t="s">
        <v>357</v>
      </c>
      <c r="B153" s="1" t="s">
        <v>330</v>
      </c>
      <c r="C153" s="1" t="s">
        <v>12</v>
      </c>
      <c r="D153" s="1" t="s">
        <v>13</v>
      </c>
      <c r="E153" s="1" t="s">
        <v>14</v>
      </c>
      <c r="F153" s="2">
        <v>42699</v>
      </c>
      <c r="G153" s="1">
        <v>6400</v>
      </c>
      <c r="H153" s="1">
        <v>3</v>
      </c>
      <c r="I153" s="1" t="s">
        <v>15</v>
      </c>
      <c r="J153" s="1" t="s">
        <v>16</v>
      </c>
    </row>
    <row r="154" spans="1:10">
      <c r="A154" s="1" t="s">
        <v>358</v>
      </c>
      <c r="B154" s="1" t="s">
        <v>205</v>
      </c>
      <c r="C154" s="1" t="s">
        <v>47</v>
      </c>
      <c r="D154" s="1" t="s">
        <v>317</v>
      </c>
      <c r="E154" s="1" t="s">
        <v>22</v>
      </c>
      <c r="F154" s="2">
        <v>44126</v>
      </c>
      <c r="G154" s="1">
        <v>6800</v>
      </c>
      <c r="H154" s="1">
        <v>4</v>
      </c>
      <c r="I154" s="1" t="s">
        <v>15</v>
      </c>
      <c r="J154" s="1" t="s">
        <v>16</v>
      </c>
    </row>
    <row r="155" spans="1:10">
      <c r="A155" s="1" t="s">
        <v>359</v>
      </c>
      <c r="B155" s="1" t="s">
        <v>360</v>
      </c>
      <c r="C155" s="1" t="s">
        <v>59</v>
      </c>
      <c r="D155" s="1" t="s">
        <v>106</v>
      </c>
      <c r="E155" s="1" t="s">
        <v>14</v>
      </c>
      <c r="F155" s="2">
        <v>42335</v>
      </c>
      <c r="G155" s="1">
        <v>8000</v>
      </c>
      <c r="H155" s="1">
        <v>2</v>
      </c>
      <c r="I155" s="1" t="s">
        <v>15</v>
      </c>
      <c r="J155" s="1" t="s">
        <v>29</v>
      </c>
    </row>
    <row r="156" spans="1:10">
      <c r="A156" s="1" t="s">
        <v>361</v>
      </c>
      <c r="B156" s="1" t="s">
        <v>362</v>
      </c>
      <c r="C156" s="1" t="s">
        <v>20</v>
      </c>
      <c r="D156" s="1" t="s">
        <v>218</v>
      </c>
      <c r="E156" s="1" t="s">
        <v>22</v>
      </c>
      <c r="F156" s="2">
        <v>42198</v>
      </c>
      <c r="G156" s="1">
        <v>8000</v>
      </c>
      <c r="H156" s="1">
        <v>4</v>
      </c>
      <c r="I156" s="1" t="s">
        <v>15</v>
      </c>
      <c r="J156" s="1" t="s">
        <v>29</v>
      </c>
    </row>
    <row r="157" spans="1:10">
      <c r="A157" s="1" t="s">
        <v>363</v>
      </c>
      <c r="B157" s="1" t="s">
        <v>364</v>
      </c>
      <c r="C157" s="1" t="s">
        <v>12</v>
      </c>
      <c r="D157" s="1" t="s">
        <v>64</v>
      </c>
      <c r="E157" s="1" t="s">
        <v>14</v>
      </c>
      <c r="F157" s="2">
        <v>44953</v>
      </c>
      <c r="G157" s="1">
        <v>13100</v>
      </c>
      <c r="H157" s="1">
        <v>3</v>
      </c>
      <c r="I157" s="1" t="s">
        <v>15</v>
      </c>
      <c r="J157" s="1" t="s">
        <v>23</v>
      </c>
    </row>
    <row r="158" spans="1:10">
      <c r="A158" s="1" t="s">
        <v>365</v>
      </c>
      <c r="B158" s="1" t="s">
        <v>326</v>
      </c>
      <c r="C158" s="1" t="s">
        <v>12</v>
      </c>
      <c r="D158" s="1" t="s">
        <v>64</v>
      </c>
      <c r="E158" s="1" t="s">
        <v>22</v>
      </c>
      <c r="F158" s="2">
        <v>42594</v>
      </c>
      <c r="G158" s="1">
        <v>12100</v>
      </c>
      <c r="H158" s="1">
        <v>4</v>
      </c>
      <c r="I158" s="1" t="s">
        <v>15</v>
      </c>
      <c r="J158" s="1" t="s">
        <v>29</v>
      </c>
    </row>
    <row r="159" spans="1:10">
      <c r="A159" s="1" t="s">
        <v>366</v>
      </c>
      <c r="B159" s="1" t="s">
        <v>367</v>
      </c>
      <c r="C159" s="1" t="s">
        <v>68</v>
      </c>
      <c r="D159" s="1" t="s">
        <v>91</v>
      </c>
      <c r="E159" s="1" t="s">
        <v>14</v>
      </c>
      <c r="F159" s="2">
        <v>44603</v>
      </c>
      <c r="G159" s="1">
        <v>8300</v>
      </c>
      <c r="H159" s="1">
        <v>4</v>
      </c>
      <c r="I159" s="1" t="s">
        <v>15</v>
      </c>
      <c r="J159" s="1" t="s">
        <v>29</v>
      </c>
    </row>
    <row r="160" spans="1:10">
      <c r="A160" s="1" t="s">
        <v>368</v>
      </c>
      <c r="B160" s="1" t="s">
        <v>369</v>
      </c>
      <c r="C160" s="1" t="s">
        <v>36</v>
      </c>
      <c r="D160" s="1" t="s">
        <v>320</v>
      </c>
      <c r="E160" s="1" t="s">
        <v>22</v>
      </c>
      <c r="F160" s="2">
        <v>44040</v>
      </c>
      <c r="G160" s="1">
        <v>7300</v>
      </c>
      <c r="H160" s="1">
        <v>5</v>
      </c>
      <c r="I160" s="1" t="s">
        <v>15</v>
      </c>
      <c r="J160" s="1" t="s">
        <v>44</v>
      </c>
    </row>
    <row r="161" spans="1:10">
      <c r="A161" s="1" t="s">
        <v>370</v>
      </c>
      <c r="B161" s="1" t="s">
        <v>154</v>
      </c>
      <c r="C161" s="1" t="s">
        <v>27</v>
      </c>
      <c r="D161" s="1" t="s">
        <v>43</v>
      </c>
      <c r="E161" s="1" t="s">
        <v>14</v>
      </c>
      <c r="F161" s="2">
        <v>43568</v>
      </c>
      <c r="G161" s="1">
        <v>15100</v>
      </c>
      <c r="H161" s="1">
        <v>4</v>
      </c>
      <c r="I161" s="1" t="s">
        <v>15</v>
      </c>
      <c r="J161" s="1" t="s">
        <v>16</v>
      </c>
    </row>
    <row r="162" spans="1:10">
      <c r="A162" s="1" t="s">
        <v>371</v>
      </c>
      <c r="B162" s="1" t="s">
        <v>372</v>
      </c>
      <c r="C162" s="1" t="s">
        <v>68</v>
      </c>
      <c r="D162" s="1" t="s">
        <v>69</v>
      </c>
      <c r="E162" s="1" t="s">
        <v>14</v>
      </c>
      <c r="F162" s="2">
        <v>41830</v>
      </c>
      <c r="G162" s="1">
        <v>12900</v>
      </c>
      <c r="H162" s="1">
        <v>4</v>
      </c>
      <c r="I162" s="1" t="s">
        <v>15</v>
      </c>
      <c r="J162" s="1" t="s">
        <v>29</v>
      </c>
    </row>
    <row r="163" spans="1:10">
      <c r="A163" s="1" t="s">
        <v>373</v>
      </c>
      <c r="B163" s="1" t="s">
        <v>374</v>
      </c>
      <c r="C163" s="1" t="s">
        <v>121</v>
      </c>
      <c r="D163" s="1" t="s">
        <v>180</v>
      </c>
      <c r="E163" s="1" t="s">
        <v>14</v>
      </c>
      <c r="F163" s="2">
        <v>45588</v>
      </c>
      <c r="G163" s="1">
        <v>19700</v>
      </c>
      <c r="H163" s="1">
        <v>3</v>
      </c>
      <c r="I163" s="1" t="s">
        <v>15</v>
      </c>
      <c r="J163" s="1" t="s">
        <v>16</v>
      </c>
    </row>
    <row r="164" spans="1:10">
      <c r="A164" s="1" t="s">
        <v>375</v>
      </c>
      <c r="B164" s="1" t="s">
        <v>376</v>
      </c>
      <c r="C164" s="1" t="s">
        <v>12</v>
      </c>
      <c r="D164" s="1" t="s">
        <v>13</v>
      </c>
      <c r="E164" s="1" t="s">
        <v>14</v>
      </c>
      <c r="F164" s="2">
        <v>45904</v>
      </c>
      <c r="G164" s="1">
        <v>5800</v>
      </c>
      <c r="H164" s="1">
        <v>3</v>
      </c>
      <c r="I164" s="1" t="s">
        <v>15</v>
      </c>
      <c r="J164" s="1" t="s">
        <v>16</v>
      </c>
    </row>
    <row r="165" spans="1:10">
      <c r="A165" s="1" t="s">
        <v>377</v>
      </c>
      <c r="B165" s="1" t="s">
        <v>378</v>
      </c>
      <c r="C165" s="1" t="s">
        <v>121</v>
      </c>
      <c r="D165" s="1" t="s">
        <v>122</v>
      </c>
      <c r="E165" s="1" t="s">
        <v>22</v>
      </c>
      <c r="F165" s="2">
        <v>43553</v>
      </c>
      <c r="G165" s="1">
        <v>10600</v>
      </c>
      <c r="H165" s="1">
        <v>2</v>
      </c>
      <c r="I165" s="1" t="s">
        <v>15</v>
      </c>
      <c r="J165" s="1" t="s">
        <v>16</v>
      </c>
    </row>
    <row r="166" spans="1:10">
      <c r="A166" s="1" t="s">
        <v>379</v>
      </c>
      <c r="B166" s="1" t="s">
        <v>380</v>
      </c>
      <c r="C166" s="1" t="s">
        <v>59</v>
      </c>
      <c r="D166" s="1" t="s">
        <v>86</v>
      </c>
      <c r="E166" s="1" t="s">
        <v>14</v>
      </c>
      <c r="F166" s="2">
        <v>45762</v>
      </c>
      <c r="G166" s="1">
        <v>13100</v>
      </c>
      <c r="H166" s="1">
        <v>4</v>
      </c>
      <c r="I166" s="1" t="s">
        <v>15</v>
      </c>
      <c r="J166" s="1" t="s">
        <v>16</v>
      </c>
    </row>
    <row r="167" spans="1:10">
      <c r="A167" s="1" t="s">
        <v>381</v>
      </c>
      <c r="B167" s="1" t="s">
        <v>382</v>
      </c>
      <c r="C167" s="1" t="s">
        <v>59</v>
      </c>
      <c r="D167" s="1" t="s">
        <v>60</v>
      </c>
      <c r="E167" s="1" t="s">
        <v>22</v>
      </c>
      <c r="F167" s="2">
        <v>46031</v>
      </c>
      <c r="G167" s="1">
        <v>16400</v>
      </c>
      <c r="H167" s="1">
        <v>4</v>
      </c>
      <c r="I167" s="1" t="s">
        <v>135</v>
      </c>
      <c r="J167" s="1" t="s">
        <v>29</v>
      </c>
    </row>
    <row r="168" spans="1:10">
      <c r="A168" s="1" t="s">
        <v>383</v>
      </c>
      <c r="B168" s="1" t="s">
        <v>384</v>
      </c>
      <c r="C168" s="1" t="s">
        <v>12</v>
      </c>
      <c r="D168" s="1" t="s">
        <v>32</v>
      </c>
      <c r="E168" s="1" t="s">
        <v>22</v>
      </c>
      <c r="F168" s="2">
        <v>42779</v>
      </c>
      <c r="G168" s="1">
        <v>11500</v>
      </c>
      <c r="H168" s="1">
        <v>3</v>
      </c>
      <c r="I168" s="1" t="s">
        <v>15</v>
      </c>
      <c r="J168" s="1" t="s">
        <v>16</v>
      </c>
    </row>
    <row r="169" spans="1:10">
      <c r="A169" s="1" t="s">
        <v>385</v>
      </c>
      <c r="B169" s="1" t="s">
        <v>386</v>
      </c>
      <c r="C169" s="1" t="s">
        <v>68</v>
      </c>
      <c r="D169" s="1" t="s">
        <v>91</v>
      </c>
      <c r="E169" s="1" t="s">
        <v>22</v>
      </c>
      <c r="F169" s="2">
        <v>46087</v>
      </c>
      <c r="G169" s="1">
        <v>8000</v>
      </c>
      <c r="H169" s="1">
        <v>4</v>
      </c>
      <c r="I169" s="1" t="s">
        <v>15</v>
      </c>
      <c r="J169" s="1" t="s">
        <v>55</v>
      </c>
    </row>
    <row r="170" spans="1:10">
      <c r="A170" s="1" t="s">
        <v>387</v>
      </c>
      <c r="B170" s="1" t="s">
        <v>388</v>
      </c>
      <c r="C170" s="1" t="s">
        <v>59</v>
      </c>
      <c r="D170" s="1" t="s">
        <v>86</v>
      </c>
      <c r="E170" s="1" t="s">
        <v>14</v>
      </c>
      <c r="F170" s="2">
        <v>43942</v>
      </c>
      <c r="G170" s="1">
        <v>9800</v>
      </c>
      <c r="H170" s="1">
        <v>4</v>
      </c>
      <c r="I170" s="1" t="s">
        <v>15</v>
      </c>
      <c r="J170" s="1" t="s">
        <v>16</v>
      </c>
    </row>
    <row r="171" spans="1:10">
      <c r="A171" s="1" t="s">
        <v>389</v>
      </c>
      <c r="B171" s="1" t="s">
        <v>390</v>
      </c>
      <c r="C171" s="1" t="s">
        <v>59</v>
      </c>
      <c r="D171" s="1" t="s">
        <v>60</v>
      </c>
      <c r="E171" s="1" t="s">
        <v>22</v>
      </c>
      <c r="F171" s="2">
        <v>45438</v>
      </c>
      <c r="G171" s="1">
        <v>16100</v>
      </c>
      <c r="H171" s="1">
        <v>4</v>
      </c>
      <c r="I171" s="1" t="s">
        <v>15</v>
      </c>
      <c r="J171" s="1" t="s">
        <v>23</v>
      </c>
    </row>
    <row r="172" spans="1:10">
      <c r="A172" s="1" t="s">
        <v>391</v>
      </c>
      <c r="B172" s="1" t="s">
        <v>392</v>
      </c>
      <c r="C172" s="1" t="s">
        <v>68</v>
      </c>
      <c r="D172" s="1" t="s">
        <v>69</v>
      </c>
      <c r="E172" s="1" t="s">
        <v>14</v>
      </c>
      <c r="F172" s="2">
        <v>43749</v>
      </c>
      <c r="G172" s="1">
        <v>10200</v>
      </c>
      <c r="H172" s="1">
        <v>1</v>
      </c>
      <c r="I172" s="1" t="s">
        <v>15</v>
      </c>
      <c r="J172" s="1" t="s">
        <v>23</v>
      </c>
    </row>
    <row r="173" spans="1:10">
      <c r="A173" s="1" t="s">
        <v>393</v>
      </c>
      <c r="B173" s="1" t="s">
        <v>394</v>
      </c>
      <c r="C173" s="1" t="s">
        <v>36</v>
      </c>
      <c r="D173" s="1" t="s">
        <v>72</v>
      </c>
      <c r="E173" s="1" t="s">
        <v>14</v>
      </c>
      <c r="F173" s="2">
        <v>45486</v>
      </c>
      <c r="G173" s="1">
        <v>15800</v>
      </c>
      <c r="H173" s="1">
        <v>3</v>
      </c>
      <c r="I173" s="1" t="s">
        <v>15</v>
      </c>
      <c r="J173" s="1" t="s">
        <v>16</v>
      </c>
    </row>
    <row r="174" spans="1:10">
      <c r="A174" s="1" t="s">
        <v>395</v>
      </c>
      <c r="B174" s="1" t="s">
        <v>396</v>
      </c>
      <c r="C174" s="1" t="s">
        <v>47</v>
      </c>
      <c r="D174" s="1" t="s">
        <v>256</v>
      </c>
      <c r="E174" s="1" t="s">
        <v>14</v>
      </c>
      <c r="F174" s="2">
        <v>44722</v>
      </c>
      <c r="G174" s="1">
        <v>10300</v>
      </c>
      <c r="H174" s="1">
        <v>4</v>
      </c>
      <c r="I174" s="1" t="s">
        <v>15</v>
      </c>
      <c r="J174" s="1" t="s">
        <v>23</v>
      </c>
    </row>
    <row r="175" spans="1:10">
      <c r="A175" s="1" t="s">
        <v>397</v>
      </c>
      <c r="B175" s="1" t="s">
        <v>398</v>
      </c>
      <c r="C175" s="1" t="s">
        <v>47</v>
      </c>
      <c r="D175" s="1" t="s">
        <v>317</v>
      </c>
      <c r="E175" s="1" t="s">
        <v>14</v>
      </c>
      <c r="F175" s="2">
        <v>42143</v>
      </c>
      <c r="G175" s="1">
        <v>8600</v>
      </c>
      <c r="H175" s="1">
        <v>5</v>
      </c>
      <c r="I175" s="1" t="s">
        <v>15</v>
      </c>
      <c r="J175" s="1" t="s">
        <v>23</v>
      </c>
    </row>
    <row r="176" spans="1:10">
      <c r="A176" s="1" t="s">
        <v>399</v>
      </c>
      <c r="B176" s="1" t="s">
        <v>400</v>
      </c>
      <c r="C176" s="1" t="s">
        <v>59</v>
      </c>
      <c r="D176" s="1" t="s">
        <v>106</v>
      </c>
      <c r="E176" s="1" t="s">
        <v>14</v>
      </c>
      <c r="F176" s="2">
        <v>46207</v>
      </c>
      <c r="G176" s="1">
        <v>8100</v>
      </c>
      <c r="H176" s="1">
        <v>4</v>
      </c>
      <c r="I176" s="1" t="s">
        <v>15</v>
      </c>
      <c r="J176" s="1" t="s">
        <v>44</v>
      </c>
    </row>
    <row r="177" spans="1:10">
      <c r="A177" s="1" t="s">
        <v>401</v>
      </c>
      <c r="B177" s="1" t="s">
        <v>402</v>
      </c>
      <c r="C177" s="1" t="s">
        <v>36</v>
      </c>
      <c r="D177" s="1" t="s">
        <v>72</v>
      </c>
      <c r="E177" s="1" t="s">
        <v>14</v>
      </c>
      <c r="F177" s="2">
        <v>44979</v>
      </c>
      <c r="G177" s="1">
        <v>13200</v>
      </c>
      <c r="H177" s="1">
        <v>4</v>
      </c>
      <c r="I177" s="1" t="s">
        <v>15</v>
      </c>
      <c r="J177" s="1" t="s">
        <v>16</v>
      </c>
    </row>
    <row r="178" spans="1:10">
      <c r="A178" s="1" t="s">
        <v>403</v>
      </c>
      <c r="B178" s="1" t="s">
        <v>404</v>
      </c>
      <c r="C178" s="1" t="s">
        <v>12</v>
      </c>
      <c r="D178" s="1" t="s">
        <v>13</v>
      </c>
      <c r="E178" s="1" t="s">
        <v>14</v>
      </c>
      <c r="F178" s="2">
        <v>44740</v>
      </c>
      <c r="G178" s="1">
        <v>5700</v>
      </c>
      <c r="H178" s="1">
        <v>3</v>
      </c>
      <c r="I178" s="1" t="s">
        <v>15</v>
      </c>
      <c r="J178" s="1" t="s">
        <v>55</v>
      </c>
    </row>
    <row r="179" spans="1:10">
      <c r="A179" s="1" t="s">
        <v>405</v>
      </c>
      <c r="B179" s="1" t="s">
        <v>406</v>
      </c>
      <c r="C179" s="1" t="s">
        <v>59</v>
      </c>
      <c r="D179" s="1" t="s">
        <v>118</v>
      </c>
      <c r="E179" s="1" t="s">
        <v>14</v>
      </c>
      <c r="F179" s="2">
        <v>45212</v>
      </c>
      <c r="G179" s="1">
        <v>7200</v>
      </c>
      <c r="H179" s="1">
        <v>2</v>
      </c>
      <c r="I179" s="1" t="s">
        <v>15</v>
      </c>
      <c r="J179" s="1" t="s">
        <v>16</v>
      </c>
    </row>
    <row r="180" spans="1:10">
      <c r="A180" s="1" t="s">
        <v>407</v>
      </c>
      <c r="B180" s="1" t="s">
        <v>408</v>
      </c>
      <c r="C180" s="1" t="s">
        <v>20</v>
      </c>
      <c r="D180" s="1" t="s">
        <v>150</v>
      </c>
      <c r="E180" s="1" t="s">
        <v>14</v>
      </c>
      <c r="F180" s="2">
        <v>46014</v>
      </c>
      <c r="G180" s="1">
        <v>15500</v>
      </c>
      <c r="H180" s="1">
        <v>4</v>
      </c>
      <c r="I180" s="1" t="s">
        <v>15</v>
      </c>
      <c r="J180" s="1" t="s">
        <v>29</v>
      </c>
    </row>
    <row r="181" spans="1:10">
      <c r="A181" s="1" t="s">
        <v>409</v>
      </c>
      <c r="B181" s="1" t="s">
        <v>298</v>
      </c>
      <c r="C181" s="1" t="s">
        <v>59</v>
      </c>
      <c r="D181" s="1" t="s">
        <v>106</v>
      </c>
      <c r="E181" s="1" t="s">
        <v>22</v>
      </c>
      <c r="F181" s="2">
        <v>45977</v>
      </c>
      <c r="G181" s="1">
        <v>11200</v>
      </c>
      <c r="H181" s="1">
        <v>4</v>
      </c>
      <c r="I181" s="1" t="s">
        <v>15</v>
      </c>
      <c r="J181" s="1" t="s">
        <v>23</v>
      </c>
    </row>
    <row r="182" spans="1:10">
      <c r="A182" s="1" t="s">
        <v>410</v>
      </c>
      <c r="B182" s="1" t="s">
        <v>411</v>
      </c>
      <c r="C182" s="1" t="s">
        <v>59</v>
      </c>
      <c r="D182" s="1" t="s">
        <v>86</v>
      </c>
      <c r="E182" s="1" t="s">
        <v>22</v>
      </c>
      <c r="F182" s="2">
        <v>43920</v>
      </c>
      <c r="G182" s="1">
        <v>9100</v>
      </c>
      <c r="H182" s="1">
        <v>2</v>
      </c>
      <c r="I182" s="1" t="s">
        <v>15</v>
      </c>
      <c r="J182" s="1" t="s">
        <v>16</v>
      </c>
    </row>
    <row r="183" spans="1:10">
      <c r="A183" s="1" t="s">
        <v>412</v>
      </c>
      <c r="B183" s="1" t="s">
        <v>413</v>
      </c>
      <c r="C183" s="1" t="s">
        <v>68</v>
      </c>
      <c r="D183" s="1" t="s">
        <v>69</v>
      </c>
      <c r="E183" s="1" t="s">
        <v>22</v>
      </c>
      <c r="F183" s="2">
        <v>43964</v>
      </c>
      <c r="G183" s="1">
        <v>11400</v>
      </c>
      <c r="H183" s="1">
        <v>4</v>
      </c>
      <c r="I183" s="1" t="s">
        <v>15</v>
      </c>
      <c r="J183" s="1" t="s">
        <v>16</v>
      </c>
    </row>
    <row r="184" spans="1:10">
      <c r="A184" s="1" t="s">
        <v>414</v>
      </c>
      <c r="B184" s="1" t="s">
        <v>415</v>
      </c>
      <c r="C184" s="1" t="s">
        <v>20</v>
      </c>
      <c r="D184" s="1" t="s">
        <v>277</v>
      </c>
      <c r="E184" s="1" t="s">
        <v>14</v>
      </c>
      <c r="F184" s="2">
        <v>45741</v>
      </c>
      <c r="G184" s="1">
        <v>5500</v>
      </c>
      <c r="H184" s="1">
        <v>4</v>
      </c>
      <c r="I184" s="1" t="s">
        <v>15</v>
      </c>
      <c r="J184" s="1" t="s">
        <v>16</v>
      </c>
    </row>
    <row r="185" spans="1:10">
      <c r="A185" s="1" t="s">
        <v>416</v>
      </c>
      <c r="B185" s="1" t="s">
        <v>417</v>
      </c>
      <c r="C185" s="1" t="s">
        <v>68</v>
      </c>
      <c r="D185" s="1" t="s">
        <v>96</v>
      </c>
      <c r="E185" s="1" t="s">
        <v>22</v>
      </c>
      <c r="F185" s="2">
        <v>42026</v>
      </c>
      <c r="G185" s="1">
        <v>19500</v>
      </c>
      <c r="H185" s="1">
        <v>4</v>
      </c>
      <c r="I185" s="1" t="s">
        <v>15</v>
      </c>
      <c r="J185" s="1" t="s">
        <v>16</v>
      </c>
    </row>
    <row r="186" spans="1:10">
      <c r="A186" s="1" t="s">
        <v>418</v>
      </c>
      <c r="B186" s="1" t="s">
        <v>419</v>
      </c>
      <c r="C186" s="1" t="s">
        <v>36</v>
      </c>
      <c r="D186" s="1" t="s">
        <v>37</v>
      </c>
      <c r="E186" s="1" t="s">
        <v>14</v>
      </c>
      <c r="F186" s="2">
        <v>44690</v>
      </c>
      <c r="G186" s="1">
        <v>8400</v>
      </c>
      <c r="H186" s="1">
        <v>4</v>
      </c>
      <c r="I186" s="1" t="s">
        <v>15</v>
      </c>
      <c r="J186" s="1" t="s">
        <v>29</v>
      </c>
    </row>
    <row r="187" spans="1:10">
      <c r="A187" s="1" t="s">
        <v>420</v>
      </c>
      <c r="B187" s="1" t="s">
        <v>421</v>
      </c>
      <c r="C187" s="1" t="s">
        <v>59</v>
      </c>
      <c r="D187" s="1" t="s">
        <v>60</v>
      </c>
      <c r="E187" s="1" t="s">
        <v>22</v>
      </c>
      <c r="F187" s="2">
        <v>44838</v>
      </c>
      <c r="G187" s="1">
        <v>16100</v>
      </c>
      <c r="H187" s="1">
        <v>1</v>
      </c>
      <c r="I187" s="1" t="s">
        <v>15</v>
      </c>
      <c r="J187" s="1" t="s">
        <v>16</v>
      </c>
    </row>
    <row r="188" spans="1:10">
      <c r="A188" s="1" t="s">
        <v>422</v>
      </c>
      <c r="B188" s="1" t="s">
        <v>423</v>
      </c>
      <c r="C188" s="1" t="s">
        <v>59</v>
      </c>
      <c r="D188" s="1" t="s">
        <v>106</v>
      </c>
      <c r="E188" s="1" t="s">
        <v>14</v>
      </c>
      <c r="F188" s="2">
        <v>45563</v>
      </c>
      <c r="G188" s="1">
        <v>11500</v>
      </c>
      <c r="H188" s="1">
        <v>4</v>
      </c>
      <c r="I188" s="1" t="s">
        <v>15</v>
      </c>
      <c r="J188" s="1" t="s">
        <v>16</v>
      </c>
    </row>
    <row r="189" spans="1:10">
      <c r="A189" s="1" t="s">
        <v>424</v>
      </c>
      <c r="B189" s="1" t="s">
        <v>425</v>
      </c>
      <c r="C189" s="1" t="s">
        <v>121</v>
      </c>
      <c r="D189" s="1" t="s">
        <v>163</v>
      </c>
      <c r="E189" s="1" t="s">
        <v>14</v>
      </c>
      <c r="F189" s="2">
        <v>45585</v>
      </c>
      <c r="G189" s="1">
        <v>6700</v>
      </c>
      <c r="H189" s="1">
        <v>4</v>
      </c>
      <c r="I189" s="1" t="s">
        <v>15</v>
      </c>
      <c r="J189" s="1" t="s">
        <v>16</v>
      </c>
    </row>
    <row r="190" spans="1:10">
      <c r="A190" s="1" t="s">
        <v>426</v>
      </c>
      <c r="B190" s="1" t="s">
        <v>427</v>
      </c>
      <c r="C190" s="1" t="s">
        <v>68</v>
      </c>
      <c r="D190" s="1" t="s">
        <v>170</v>
      </c>
      <c r="E190" s="1" t="s">
        <v>22</v>
      </c>
      <c r="F190" s="2">
        <v>45334</v>
      </c>
      <c r="G190" s="1">
        <v>11500</v>
      </c>
      <c r="H190" s="1">
        <v>4</v>
      </c>
      <c r="I190" s="1" t="s">
        <v>135</v>
      </c>
      <c r="J190" s="1" t="s">
        <v>16</v>
      </c>
    </row>
    <row r="191" spans="1:10">
      <c r="A191" s="1" t="s">
        <v>428</v>
      </c>
      <c r="B191" s="1" t="s">
        <v>429</v>
      </c>
      <c r="C191" s="1" t="s">
        <v>12</v>
      </c>
      <c r="D191" s="1" t="s">
        <v>13</v>
      </c>
      <c r="E191" s="1" t="s">
        <v>22</v>
      </c>
      <c r="F191" s="2">
        <v>42614</v>
      </c>
      <c r="G191" s="1">
        <v>6400</v>
      </c>
      <c r="H191" s="1">
        <v>4</v>
      </c>
      <c r="I191" s="1" t="s">
        <v>15</v>
      </c>
      <c r="J191" s="1" t="s">
        <v>29</v>
      </c>
    </row>
    <row r="192" spans="1:10">
      <c r="A192" s="1" t="s">
        <v>430</v>
      </c>
      <c r="B192" s="1" t="s">
        <v>362</v>
      </c>
      <c r="C192" s="1" t="s">
        <v>27</v>
      </c>
      <c r="D192" s="1" t="s">
        <v>40</v>
      </c>
      <c r="E192" s="1" t="s">
        <v>22</v>
      </c>
      <c r="F192" s="2">
        <v>44741</v>
      </c>
      <c r="G192" s="1">
        <v>8600</v>
      </c>
      <c r="H192" s="1">
        <v>5</v>
      </c>
      <c r="I192" s="1" t="s">
        <v>15</v>
      </c>
      <c r="J192" s="1" t="s">
        <v>16</v>
      </c>
    </row>
    <row r="193" spans="1:10">
      <c r="A193" s="1" t="s">
        <v>431</v>
      </c>
      <c r="B193" s="1" t="s">
        <v>432</v>
      </c>
      <c r="C193" s="1" t="s">
        <v>121</v>
      </c>
      <c r="D193" s="1" t="s">
        <v>288</v>
      </c>
      <c r="E193" s="1" t="s">
        <v>22</v>
      </c>
      <c r="F193" s="2">
        <v>42350</v>
      </c>
      <c r="G193" s="1">
        <v>10900</v>
      </c>
      <c r="H193" s="1">
        <v>4</v>
      </c>
      <c r="I193" s="1" t="s">
        <v>61</v>
      </c>
      <c r="J193" s="1" t="s">
        <v>16</v>
      </c>
    </row>
    <row r="194" spans="1:10">
      <c r="A194" s="1" t="s">
        <v>433</v>
      </c>
      <c r="B194" s="1" t="s">
        <v>434</v>
      </c>
      <c r="C194" s="1" t="s">
        <v>20</v>
      </c>
      <c r="D194" s="1" t="s">
        <v>277</v>
      </c>
      <c r="E194" s="1" t="s">
        <v>14</v>
      </c>
      <c r="F194" s="2">
        <v>46153</v>
      </c>
      <c r="G194" s="1">
        <v>5000</v>
      </c>
      <c r="H194" s="1">
        <v>3</v>
      </c>
      <c r="I194" s="1" t="s">
        <v>15</v>
      </c>
      <c r="J194" s="1" t="s">
        <v>29</v>
      </c>
    </row>
    <row r="195" spans="1:10">
      <c r="A195" s="1" t="s">
        <v>435</v>
      </c>
      <c r="B195" s="1" t="s">
        <v>436</v>
      </c>
      <c r="C195" s="1" t="s">
        <v>20</v>
      </c>
      <c r="D195" s="1" t="s">
        <v>21</v>
      </c>
      <c r="E195" s="1" t="s">
        <v>14</v>
      </c>
      <c r="F195" s="2">
        <v>43483</v>
      </c>
      <c r="G195" s="1">
        <v>8600</v>
      </c>
      <c r="H195" s="1">
        <v>1</v>
      </c>
      <c r="I195" s="1" t="s">
        <v>15</v>
      </c>
      <c r="J195" s="1" t="s">
        <v>16</v>
      </c>
    </row>
    <row r="196" spans="1:10">
      <c r="A196" s="1" t="s">
        <v>437</v>
      </c>
      <c r="B196" s="1" t="s">
        <v>438</v>
      </c>
      <c r="C196" s="1" t="s">
        <v>68</v>
      </c>
      <c r="D196" s="1" t="s">
        <v>170</v>
      </c>
      <c r="E196" s="1" t="s">
        <v>14</v>
      </c>
      <c r="F196" s="2">
        <v>43778</v>
      </c>
      <c r="G196" s="1">
        <v>12300</v>
      </c>
      <c r="H196" s="1">
        <v>4</v>
      </c>
      <c r="I196" s="1" t="s">
        <v>135</v>
      </c>
      <c r="J196" s="1" t="s">
        <v>16</v>
      </c>
    </row>
    <row r="197" spans="1:10">
      <c r="A197" s="1" t="s">
        <v>439</v>
      </c>
      <c r="B197" s="1" t="s">
        <v>440</v>
      </c>
      <c r="C197" s="1" t="s">
        <v>59</v>
      </c>
      <c r="D197" s="1" t="s">
        <v>86</v>
      </c>
      <c r="E197" s="1" t="s">
        <v>14</v>
      </c>
      <c r="F197" s="2">
        <v>43395</v>
      </c>
      <c r="G197" s="1">
        <v>13400</v>
      </c>
      <c r="H197" s="1">
        <v>4</v>
      </c>
      <c r="I197" s="1" t="s">
        <v>15</v>
      </c>
      <c r="J197" s="1" t="s">
        <v>16</v>
      </c>
    </row>
    <row r="198" spans="1:10">
      <c r="A198" s="1" t="s">
        <v>441</v>
      </c>
      <c r="B198" s="1" t="s">
        <v>423</v>
      </c>
      <c r="C198" s="1" t="s">
        <v>68</v>
      </c>
      <c r="D198" s="1" t="s">
        <v>177</v>
      </c>
      <c r="E198" s="1" t="s">
        <v>14</v>
      </c>
      <c r="F198" s="2">
        <v>46118</v>
      </c>
      <c r="G198" s="1">
        <v>11100</v>
      </c>
      <c r="H198" s="1">
        <v>3</v>
      </c>
      <c r="I198" s="1" t="s">
        <v>15</v>
      </c>
      <c r="J198" s="1" t="s">
        <v>29</v>
      </c>
    </row>
    <row r="199" spans="1:10">
      <c r="A199" s="1" t="s">
        <v>442</v>
      </c>
      <c r="B199" s="1" t="s">
        <v>443</v>
      </c>
      <c r="C199" s="1" t="s">
        <v>20</v>
      </c>
      <c r="D199" s="1" t="s">
        <v>218</v>
      </c>
      <c r="E199" s="1" t="s">
        <v>14</v>
      </c>
      <c r="F199" s="2">
        <v>45775</v>
      </c>
      <c r="G199" s="1">
        <v>10400</v>
      </c>
      <c r="H199" s="1">
        <v>3</v>
      </c>
      <c r="I199" s="1" t="s">
        <v>61</v>
      </c>
      <c r="J199" s="1" t="s">
        <v>29</v>
      </c>
    </row>
    <row r="200" spans="1:10">
      <c r="A200" s="1" t="s">
        <v>444</v>
      </c>
      <c r="B200" s="1" t="s">
        <v>308</v>
      </c>
      <c r="C200" s="1" t="s">
        <v>27</v>
      </c>
      <c r="D200" s="1" t="s">
        <v>40</v>
      </c>
      <c r="E200" s="1" t="s">
        <v>14</v>
      </c>
      <c r="F200" s="2">
        <v>44892</v>
      </c>
      <c r="G200" s="1">
        <v>7900</v>
      </c>
      <c r="H200" s="1">
        <v>4</v>
      </c>
      <c r="I200" s="1" t="s">
        <v>15</v>
      </c>
      <c r="J200" s="1" t="s">
        <v>55</v>
      </c>
    </row>
    <row r="201" spans="1:10">
      <c r="A201" s="1" t="s">
        <v>445</v>
      </c>
      <c r="B201" s="1" t="s">
        <v>446</v>
      </c>
      <c r="C201" s="1" t="s">
        <v>59</v>
      </c>
      <c r="D201" s="1" t="s">
        <v>106</v>
      </c>
      <c r="E201" s="1" t="s">
        <v>14</v>
      </c>
      <c r="F201" s="2">
        <v>45038</v>
      </c>
      <c r="G201" s="1">
        <v>8700</v>
      </c>
      <c r="H201" s="1">
        <v>3</v>
      </c>
      <c r="I201" s="1" t="s">
        <v>15</v>
      </c>
      <c r="J201" s="1" t="s">
        <v>29</v>
      </c>
    </row>
    <row r="202" spans="1:10">
      <c r="A202" s="1" t="s">
        <v>447</v>
      </c>
      <c r="B202" s="1" t="s">
        <v>448</v>
      </c>
      <c r="C202" s="1" t="s">
        <v>121</v>
      </c>
      <c r="D202" s="1" t="s">
        <v>122</v>
      </c>
      <c r="E202" s="1" t="s">
        <v>14</v>
      </c>
      <c r="F202" s="2">
        <v>42600</v>
      </c>
      <c r="G202" s="1">
        <v>11300</v>
      </c>
      <c r="H202" s="1">
        <v>2</v>
      </c>
      <c r="I202" s="1" t="s">
        <v>15</v>
      </c>
      <c r="J202" s="1" t="s">
        <v>16</v>
      </c>
    </row>
    <row r="203" spans="1:10">
      <c r="A203" s="1" t="s">
        <v>449</v>
      </c>
      <c r="B203" s="1" t="s">
        <v>450</v>
      </c>
      <c r="C203" s="1" t="s">
        <v>36</v>
      </c>
      <c r="D203" s="1" t="s">
        <v>451</v>
      </c>
      <c r="E203" s="1" t="s">
        <v>14</v>
      </c>
      <c r="F203" s="2">
        <v>44694</v>
      </c>
      <c r="G203" s="1">
        <v>22300</v>
      </c>
      <c r="H203" s="1">
        <v>3</v>
      </c>
      <c r="I203" s="1" t="s">
        <v>15</v>
      </c>
      <c r="J203" s="1" t="s">
        <v>29</v>
      </c>
    </row>
    <row r="204" spans="1:10">
      <c r="A204" s="1" t="s">
        <v>452</v>
      </c>
      <c r="B204" s="1" t="s">
        <v>453</v>
      </c>
      <c r="C204" s="1" t="s">
        <v>121</v>
      </c>
      <c r="D204" s="1" t="s">
        <v>122</v>
      </c>
      <c r="E204" s="1" t="s">
        <v>22</v>
      </c>
      <c r="F204" s="2">
        <v>44667</v>
      </c>
      <c r="G204" s="1">
        <v>11800</v>
      </c>
      <c r="H204" s="1">
        <v>3</v>
      </c>
      <c r="I204" s="1" t="s">
        <v>15</v>
      </c>
      <c r="J204" s="1" t="s">
        <v>29</v>
      </c>
    </row>
    <row r="205" spans="1:10">
      <c r="A205" s="1" t="s">
        <v>454</v>
      </c>
      <c r="B205" s="1" t="s">
        <v>455</v>
      </c>
      <c r="C205" s="1" t="s">
        <v>12</v>
      </c>
      <c r="D205" s="1" t="s">
        <v>64</v>
      </c>
      <c r="E205" s="1" t="s">
        <v>22</v>
      </c>
      <c r="F205" s="2">
        <v>45323</v>
      </c>
      <c r="G205" s="1">
        <v>13400</v>
      </c>
      <c r="H205" s="1">
        <v>3</v>
      </c>
      <c r="I205" s="1" t="s">
        <v>15</v>
      </c>
      <c r="J205" s="1" t="s">
        <v>16</v>
      </c>
    </row>
    <row r="206" spans="1:10">
      <c r="A206" s="1" t="s">
        <v>456</v>
      </c>
      <c r="B206" s="1" t="s">
        <v>457</v>
      </c>
      <c r="C206" s="1" t="s">
        <v>59</v>
      </c>
      <c r="D206" s="1" t="s">
        <v>60</v>
      </c>
      <c r="E206" s="1" t="s">
        <v>22</v>
      </c>
      <c r="F206" s="2">
        <v>41657</v>
      </c>
      <c r="G206" s="1">
        <v>14000</v>
      </c>
      <c r="H206" s="1">
        <v>5</v>
      </c>
      <c r="I206" s="1" t="s">
        <v>15</v>
      </c>
      <c r="J206" s="1" t="s">
        <v>29</v>
      </c>
    </row>
    <row r="207" spans="1:10">
      <c r="A207" s="1" t="s">
        <v>458</v>
      </c>
      <c r="B207" s="1" t="s">
        <v>459</v>
      </c>
      <c r="C207" s="1" t="s">
        <v>20</v>
      </c>
      <c r="D207" s="1" t="s">
        <v>75</v>
      </c>
      <c r="E207" s="1" t="s">
        <v>14</v>
      </c>
      <c r="F207" s="2">
        <v>46244</v>
      </c>
      <c r="G207" s="1">
        <v>9600</v>
      </c>
      <c r="H207" s="1">
        <v>2</v>
      </c>
      <c r="I207" s="1" t="s">
        <v>15</v>
      </c>
      <c r="J207" s="1" t="s">
        <v>44</v>
      </c>
    </row>
    <row r="208" spans="1:10">
      <c r="A208" s="1" t="s">
        <v>460</v>
      </c>
      <c r="B208" s="1" t="s">
        <v>461</v>
      </c>
      <c r="C208" s="1" t="s">
        <v>20</v>
      </c>
      <c r="D208" s="1" t="s">
        <v>75</v>
      </c>
      <c r="E208" s="1" t="s">
        <v>22</v>
      </c>
      <c r="F208" s="2">
        <v>43806</v>
      </c>
      <c r="G208" s="1">
        <v>9700</v>
      </c>
      <c r="H208" s="1">
        <v>4</v>
      </c>
      <c r="I208" s="1" t="s">
        <v>15</v>
      </c>
      <c r="J208" s="1" t="s">
        <v>16</v>
      </c>
    </row>
    <row r="209" spans="1:10">
      <c r="A209" s="1" t="s">
        <v>462</v>
      </c>
      <c r="B209" s="1" t="s">
        <v>463</v>
      </c>
      <c r="C209" s="1" t="s">
        <v>68</v>
      </c>
      <c r="D209" s="1" t="s">
        <v>69</v>
      </c>
      <c r="E209" s="1" t="s">
        <v>22</v>
      </c>
      <c r="F209" s="2">
        <v>46065</v>
      </c>
      <c r="G209" s="1">
        <v>10400</v>
      </c>
      <c r="H209" s="1">
        <v>5</v>
      </c>
      <c r="I209" s="1" t="s">
        <v>15</v>
      </c>
      <c r="J209" s="1" t="s">
        <v>16</v>
      </c>
    </row>
    <row r="210" spans="1:10">
      <c r="A210" s="1" t="s">
        <v>464</v>
      </c>
      <c r="B210" s="1" t="s">
        <v>465</v>
      </c>
      <c r="C210" s="1" t="s">
        <v>20</v>
      </c>
      <c r="D210" s="1" t="s">
        <v>21</v>
      </c>
      <c r="E210" s="1" t="s">
        <v>22</v>
      </c>
      <c r="F210" s="2">
        <v>44682</v>
      </c>
      <c r="G210" s="1">
        <v>8400</v>
      </c>
      <c r="H210" s="1">
        <v>3</v>
      </c>
      <c r="I210" s="1" t="s">
        <v>15</v>
      </c>
      <c r="J210" s="1" t="s">
        <v>23</v>
      </c>
    </row>
    <row r="211" spans="1:10">
      <c r="A211" s="1" t="s">
        <v>466</v>
      </c>
      <c r="B211" s="1" t="s">
        <v>467</v>
      </c>
      <c r="C211" s="1" t="s">
        <v>27</v>
      </c>
      <c r="D211" s="1" t="s">
        <v>40</v>
      </c>
      <c r="E211" s="1" t="s">
        <v>14</v>
      </c>
      <c r="F211" s="2">
        <v>45819</v>
      </c>
      <c r="G211" s="1">
        <v>8000</v>
      </c>
      <c r="H211" s="1">
        <v>3</v>
      </c>
      <c r="I211" s="1" t="s">
        <v>15</v>
      </c>
      <c r="J211" s="1" t="s">
        <v>23</v>
      </c>
    </row>
    <row r="212" spans="1:10">
      <c r="A212" s="1" t="s">
        <v>468</v>
      </c>
      <c r="B212" s="1" t="s">
        <v>469</v>
      </c>
      <c r="C212" s="1" t="s">
        <v>27</v>
      </c>
      <c r="D212" s="1" t="s">
        <v>109</v>
      </c>
      <c r="E212" s="1" t="s">
        <v>14</v>
      </c>
      <c r="F212" s="2">
        <v>45643</v>
      </c>
      <c r="G212" s="1">
        <v>5800</v>
      </c>
      <c r="H212" s="1">
        <v>5</v>
      </c>
      <c r="I212" s="1" t="s">
        <v>15</v>
      </c>
      <c r="J212" s="1" t="s">
        <v>55</v>
      </c>
    </row>
    <row r="213" spans="1:10">
      <c r="A213" s="1" t="s">
        <v>470</v>
      </c>
      <c r="B213" s="1" t="s">
        <v>35</v>
      </c>
      <c r="C213" s="1" t="s">
        <v>12</v>
      </c>
      <c r="D213" s="1" t="s">
        <v>64</v>
      </c>
      <c r="E213" s="1" t="s">
        <v>14</v>
      </c>
      <c r="F213" s="2">
        <v>44113</v>
      </c>
      <c r="G213" s="1">
        <v>13900</v>
      </c>
      <c r="H213" s="1">
        <v>5</v>
      </c>
      <c r="I213" s="1" t="s">
        <v>15</v>
      </c>
      <c r="J213" s="1" t="s">
        <v>16</v>
      </c>
    </row>
    <row r="214" spans="1:10">
      <c r="A214" s="1" t="s">
        <v>471</v>
      </c>
      <c r="B214" s="1" t="s">
        <v>472</v>
      </c>
      <c r="C214" s="1" t="s">
        <v>47</v>
      </c>
      <c r="D214" s="1" t="s">
        <v>317</v>
      </c>
      <c r="E214" s="1" t="s">
        <v>14</v>
      </c>
      <c r="F214" s="2">
        <v>45281</v>
      </c>
      <c r="G214" s="1">
        <v>7700</v>
      </c>
      <c r="H214" s="1">
        <v>3</v>
      </c>
      <c r="I214" s="1" t="s">
        <v>15</v>
      </c>
      <c r="J214" s="1" t="s">
        <v>55</v>
      </c>
    </row>
    <row r="215" spans="1:10">
      <c r="A215" s="1" t="s">
        <v>473</v>
      </c>
      <c r="B215" s="1" t="s">
        <v>474</v>
      </c>
      <c r="C215" s="1" t="s">
        <v>121</v>
      </c>
      <c r="D215" s="1" t="s">
        <v>475</v>
      </c>
      <c r="E215" s="1" t="s">
        <v>14</v>
      </c>
      <c r="F215" s="2">
        <v>44588</v>
      </c>
      <c r="G215" s="1">
        <v>9700</v>
      </c>
      <c r="H215" s="1">
        <v>2</v>
      </c>
      <c r="I215" s="1" t="s">
        <v>61</v>
      </c>
      <c r="J215" s="1" t="s">
        <v>16</v>
      </c>
    </row>
    <row r="216" spans="1:10">
      <c r="A216" s="1" t="s">
        <v>476</v>
      </c>
      <c r="B216" s="1" t="s">
        <v>341</v>
      </c>
      <c r="C216" s="1" t="s">
        <v>20</v>
      </c>
      <c r="D216" s="1" t="s">
        <v>21</v>
      </c>
      <c r="E216" s="1" t="s">
        <v>14</v>
      </c>
      <c r="F216" s="2">
        <v>45791</v>
      </c>
      <c r="G216" s="1">
        <v>6300</v>
      </c>
      <c r="H216" s="1">
        <v>3</v>
      </c>
      <c r="I216" s="1" t="s">
        <v>15</v>
      </c>
      <c r="J216" s="1" t="s">
        <v>16</v>
      </c>
    </row>
    <row r="217" spans="1:10">
      <c r="A217" s="1" t="s">
        <v>477</v>
      </c>
      <c r="B217" s="1" t="s">
        <v>478</v>
      </c>
      <c r="C217" s="1" t="s">
        <v>20</v>
      </c>
      <c r="D217" s="1" t="s">
        <v>218</v>
      </c>
      <c r="E217" s="1" t="s">
        <v>14</v>
      </c>
      <c r="F217" s="2">
        <v>42994</v>
      </c>
      <c r="G217" s="1">
        <v>9800</v>
      </c>
      <c r="H217" s="1">
        <v>2</v>
      </c>
      <c r="I217" s="1" t="s">
        <v>15</v>
      </c>
      <c r="J217" s="1" t="s">
        <v>44</v>
      </c>
    </row>
    <row r="218" spans="1:10">
      <c r="A218" s="1" t="s">
        <v>479</v>
      </c>
      <c r="B218" s="1" t="s">
        <v>480</v>
      </c>
      <c r="C218" s="1" t="s">
        <v>59</v>
      </c>
      <c r="D218" s="1" t="s">
        <v>106</v>
      </c>
      <c r="E218" s="1" t="s">
        <v>14</v>
      </c>
      <c r="F218" s="2">
        <v>42697</v>
      </c>
      <c r="G218" s="1">
        <v>9300</v>
      </c>
      <c r="H218" s="1">
        <v>4</v>
      </c>
      <c r="I218" s="1" t="s">
        <v>15</v>
      </c>
      <c r="J218" s="1" t="s">
        <v>16</v>
      </c>
    </row>
    <row r="219" spans="1:10">
      <c r="A219" s="1" t="s">
        <v>481</v>
      </c>
      <c r="B219" s="1" t="s">
        <v>482</v>
      </c>
      <c r="C219" s="1" t="s">
        <v>68</v>
      </c>
      <c r="D219" s="1" t="s">
        <v>69</v>
      </c>
      <c r="E219" s="1" t="s">
        <v>14</v>
      </c>
      <c r="F219" s="2">
        <v>44401</v>
      </c>
      <c r="G219" s="1">
        <v>11400</v>
      </c>
      <c r="H219" s="1">
        <v>5</v>
      </c>
      <c r="I219" s="1" t="s">
        <v>15</v>
      </c>
      <c r="J219" s="1" t="s">
        <v>16</v>
      </c>
    </row>
    <row r="220" spans="1:10">
      <c r="A220" s="1" t="s">
        <v>483</v>
      </c>
      <c r="B220" s="1" t="s">
        <v>484</v>
      </c>
      <c r="C220" s="1" t="s">
        <v>47</v>
      </c>
      <c r="D220" s="1" t="s">
        <v>48</v>
      </c>
      <c r="E220" s="1" t="s">
        <v>14</v>
      </c>
      <c r="F220" s="2">
        <v>43111</v>
      </c>
      <c r="G220" s="1">
        <v>9500</v>
      </c>
      <c r="H220" s="1">
        <v>4</v>
      </c>
      <c r="I220" s="1" t="s">
        <v>15</v>
      </c>
      <c r="J220" s="1" t="s">
        <v>16</v>
      </c>
    </row>
    <row r="221" spans="1:10">
      <c r="A221" s="1" t="s">
        <v>485</v>
      </c>
      <c r="B221" s="1" t="s">
        <v>486</v>
      </c>
      <c r="C221" s="1" t="s">
        <v>59</v>
      </c>
      <c r="D221" s="1" t="s">
        <v>118</v>
      </c>
      <c r="E221" s="1" t="s">
        <v>14</v>
      </c>
      <c r="F221" s="2">
        <v>45331</v>
      </c>
      <c r="G221" s="1">
        <v>8000</v>
      </c>
      <c r="H221" s="1">
        <v>3</v>
      </c>
      <c r="I221" s="1" t="s">
        <v>15</v>
      </c>
      <c r="J221" s="1" t="s">
        <v>16</v>
      </c>
    </row>
    <row r="222" spans="1:10">
      <c r="A222" s="1" t="s">
        <v>487</v>
      </c>
      <c r="B222" s="1" t="s">
        <v>488</v>
      </c>
      <c r="C222" s="1" t="s">
        <v>47</v>
      </c>
      <c r="D222" s="1" t="s">
        <v>317</v>
      </c>
      <c r="E222" s="1" t="s">
        <v>14</v>
      </c>
      <c r="F222" s="2">
        <v>44059</v>
      </c>
      <c r="G222" s="1">
        <v>6700</v>
      </c>
      <c r="H222" s="1">
        <v>3</v>
      </c>
      <c r="I222" s="1" t="s">
        <v>15</v>
      </c>
      <c r="J222" s="1" t="s">
        <v>29</v>
      </c>
    </row>
    <row r="223" spans="1:10">
      <c r="A223" s="1" t="s">
        <v>489</v>
      </c>
      <c r="B223" s="1" t="s">
        <v>490</v>
      </c>
      <c r="C223" s="1" t="s">
        <v>20</v>
      </c>
      <c r="D223" s="1" t="s">
        <v>218</v>
      </c>
      <c r="E223" s="1" t="s">
        <v>14</v>
      </c>
      <c r="F223" s="2">
        <v>42375</v>
      </c>
      <c r="G223" s="1">
        <v>9200</v>
      </c>
      <c r="H223" s="1">
        <v>3</v>
      </c>
      <c r="I223" s="1" t="s">
        <v>61</v>
      </c>
      <c r="J223" s="1" t="s">
        <v>23</v>
      </c>
    </row>
    <row r="224" spans="1:10">
      <c r="A224" s="1" t="s">
        <v>491</v>
      </c>
      <c r="B224" s="1" t="s">
        <v>492</v>
      </c>
      <c r="C224" s="1" t="s">
        <v>68</v>
      </c>
      <c r="D224" s="1" t="s">
        <v>69</v>
      </c>
      <c r="E224" s="1" t="s">
        <v>14</v>
      </c>
      <c r="F224" s="2">
        <v>42334</v>
      </c>
      <c r="G224" s="1">
        <v>11800</v>
      </c>
      <c r="H224" s="1">
        <v>2</v>
      </c>
      <c r="I224" s="1" t="s">
        <v>15</v>
      </c>
      <c r="J224" s="1" t="s">
        <v>16</v>
      </c>
    </row>
    <row r="225" spans="1:10">
      <c r="A225" s="1" t="s">
        <v>493</v>
      </c>
      <c r="B225" s="1" t="s">
        <v>494</v>
      </c>
      <c r="C225" s="1" t="s">
        <v>59</v>
      </c>
      <c r="D225" s="1" t="s">
        <v>86</v>
      </c>
      <c r="E225" s="1" t="s">
        <v>14</v>
      </c>
      <c r="F225" s="2">
        <v>42444</v>
      </c>
      <c r="G225" s="1">
        <v>10900</v>
      </c>
      <c r="H225" s="1">
        <v>3</v>
      </c>
      <c r="I225" s="1" t="s">
        <v>15</v>
      </c>
      <c r="J225" s="1" t="s">
        <v>29</v>
      </c>
    </row>
    <row r="226" spans="1:10">
      <c r="A226" s="1" t="s">
        <v>495</v>
      </c>
      <c r="B226" s="1" t="s">
        <v>496</v>
      </c>
      <c r="C226" s="1" t="s">
        <v>59</v>
      </c>
      <c r="D226" s="1" t="s">
        <v>86</v>
      </c>
      <c r="E226" s="1" t="s">
        <v>22</v>
      </c>
      <c r="F226" s="2">
        <v>45386</v>
      </c>
      <c r="G226" s="1">
        <v>12200</v>
      </c>
      <c r="H226" s="1">
        <v>3</v>
      </c>
      <c r="I226" s="1" t="s">
        <v>15</v>
      </c>
      <c r="J226" s="1" t="s">
        <v>29</v>
      </c>
    </row>
    <row r="227" spans="1:10">
      <c r="A227" s="1" t="s">
        <v>497</v>
      </c>
      <c r="B227" s="1" t="s">
        <v>201</v>
      </c>
      <c r="C227" s="1" t="s">
        <v>12</v>
      </c>
      <c r="D227" s="1" t="s">
        <v>13</v>
      </c>
      <c r="E227" s="1" t="s">
        <v>22</v>
      </c>
      <c r="F227" s="2">
        <v>42805</v>
      </c>
      <c r="G227" s="1">
        <v>7300</v>
      </c>
      <c r="H227" s="1">
        <v>4</v>
      </c>
      <c r="I227" s="1" t="s">
        <v>15</v>
      </c>
      <c r="J227" s="1" t="s">
        <v>29</v>
      </c>
    </row>
    <row r="228" spans="1:10">
      <c r="A228" s="1" t="s">
        <v>498</v>
      </c>
      <c r="B228" s="1" t="s">
        <v>499</v>
      </c>
      <c r="C228" s="1" t="s">
        <v>47</v>
      </c>
      <c r="D228" s="1" t="s">
        <v>206</v>
      </c>
      <c r="E228" s="1" t="s">
        <v>14</v>
      </c>
      <c r="F228" s="2">
        <v>42028</v>
      </c>
      <c r="G228" s="1">
        <v>7000</v>
      </c>
      <c r="H228" s="1">
        <v>5</v>
      </c>
      <c r="I228" s="1" t="s">
        <v>15</v>
      </c>
      <c r="J228" s="1" t="s">
        <v>16</v>
      </c>
    </row>
    <row r="229" spans="1:10">
      <c r="A229" s="1" t="s">
        <v>500</v>
      </c>
      <c r="B229" s="1" t="s">
        <v>264</v>
      </c>
      <c r="C229" s="1" t="s">
        <v>12</v>
      </c>
      <c r="D229" s="1" t="s">
        <v>13</v>
      </c>
      <c r="E229" s="1" t="s">
        <v>14</v>
      </c>
      <c r="F229" s="2">
        <v>44485</v>
      </c>
      <c r="G229" s="1">
        <v>6700</v>
      </c>
      <c r="H229" s="1">
        <v>4</v>
      </c>
      <c r="I229" s="1" t="s">
        <v>135</v>
      </c>
      <c r="J229" s="1" t="s">
        <v>16</v>
      </c>
    </row>
    <row r="230" spans="1:10">
      <c r="A230" s="1" t="s">
        <v>501</v>
      </c>
      <c r="B230" s="1" t="s">
        <v>434</v>
      </c>
      <c r="C230" s="1" t="s">
        <v>36</v>
      </c>
      <c r="D230" s="1" t="s">
        <v>37</v>
      </c>
      <c r="E230" s="1" t="s">
        <v>14</v>
      </c>
      <c r="F230" s="2">
        <v>41697</v>
      </c>
      <c r="G230" s="1">
        <v>9200</v>
      </c>
      <c r="H230" s="1">
        <v>4</v>
      </c>
      <c r="I230" s="1" t="s">
        <v>61</v>
      </c>
      <c r="J230" s="1" t="s">
        <v>16</v>
      </c>
    </row>
    <row r="231" spans="1:10">
      <c r="A231" s="1" t="s">
        <v>502</v>
      </c>
      <c r="B231" s="1" t="s">
        <v>147</v>
      </c>
      <c r="C231" s="1" t="s">
        <v>20</v>
      </c>
      <c r="D231" s="1" t="s">
        <v>75</v>
      </c>
      <c r="E231" s="1" t="s">
        <v>14</v>
      </c>
      <c r="F231" s="2">
        <v>44156</v>
      </c>
      <c r="G231" s="1">
        <v>10400</v>
      </c>
      <c r="H231" s="1">
        <v>2</v>
      </c>
      <c r="I231" s="1" t="s">
        <v>15</v>
      </c>
      <c r="J231" s="1" t="s">
        <v>29</v>
      </c>
    </row>
    <row r="232" spans="1:10">
      <c r="A232" s="1" t="s">
        <v>503</v>
      </c>
      <c r="B232" s="1" t="s">
        <v>504</v>
      </c>
      <c r="C232" s="1" t="s">
        <v>68</v>
      </c>
      <c r="D232" s="1" t="s">
        <v>69</v>
      </c>
      <c r="E232" s="1" t="s">
        <v>14</v>
      </c>
      <c r="F232" s="2">
        <v>44329</v>
      </c>
      <c r="G232" s="1">
        <v>11000</v>
      </c>
      <c r="H232" s="1">
        <v>3</v>
      </c>
      <c r="I232" s="1" t="s">
        <v>15</v>
      </c>
      <c r="J232" s="1" t="s">
        <v>29</v>
      </c>
    </row>
    <row r="233" spans="1:10">
      <c r="A233" s="1" t="s">
        <v>505</v>
      </c>
      <c r="B233" s="1" t="s">
        <v>506</v>
      </c>
      <c r="C233" s="1" t="s">
        <v>36</v>
      </c>
      <c r="D233" s="1" t="s">
        <v>72</v>
      </c>
      <c r="E233" s="1" t="s">
        <v>14</v>
      </c>
      <c r="F233" s="2">
        <v>45973</v>
      </c>
      <c r="G233" s="1">
        <v>12200</v>
      </c>
      <c r="H233" s="1">
        <v>3</v>
      </c>
      <c r="I233" s="1" t="s">
        <v>15</v>
      </c>
      <c r="J233" s="1" t="s">
        <v>16</v>
      </c>
    </row>
    <row r="234" spans="1:10">
      <c r="A234" s="1" t="s">
        <v>507</v>
      </c>
      <c r="B234" s="1" t="s">
        <v>508</v>
      </c>
      <c r="C234" s="1" t="s">
        <v>59</v>
      </c>
      <c r="D234" s="1" t="s">
        <v>118</v>
      </c>
      <c r="E234" s="1" t="s">
        <v>22</v>
      </c>
      <c r="F234" s="2">
        <v>41991</v>
      </c>
      <c r="G234" s="1">
        <v>7800</v>
      </c>
      <c r="H234" s="1">
        <v>3</v>
      </c>
      <c r="I234" s="1" t="s">
        <v>15</v>
      </c>
      <c r="J234" s="1" t="s">
        <v>16</v>
      </c>
    </row>
    <row r="235" spans="1:10">
      <c r="A235" s="1" t="s">
        <v>509</v>
      </c>
      <c r="B235" s="1" t="s">
        <v>510</v>
      </c>
      <c r="C235" s="1" t="s">
        <v>27</v>
      </c>
      <c r="D235" s="1" t="s">
        <v>43</v>
      </c>
      <c r="E235" s="1" t="s">
        <v>14</v>
      </c>
      <c r="F235" s="2">
        <v>42330</v>
      </c>
      <c r="G235" s="1">
        <v>13400</v>
      </c>
      <c r="H235" s="1">
        <v>1</v>
      </c>
      <c r="I235" s="1" t="s">
        <v>15</v>
      </c>
      <c r="J235" s="1" t="s">
        <v>16</v>
      </c>
    </row>
    <row r="236" spans="1:10">
      <c r="A236" s="1" t="s">
        <v>511</v>
      </c>
      <c r="B236" s="1" t="s">
        <v>512</v>
      </c>
      <c r="C236" s="1" t="s">
        <v>20</v>
      </c>
      <c r="D236" s="1" t="s">
        <v>21</v>
      </c>
      <c r="E236" s="1" t="s">
        <v>14</v>
      </c>
      <c r="F236" s="2">
        <v>44894</v>
      </c>
      <c r="G236" s="1">
        <v>6000</v>
      </c>
      <c r="H236" s="1">
        <v>4</v>
      </c>
      <c r="I236" s="1" t="s">
        <v>135</v>
      </c>
      <c r="J236" s="1" t="s">
        <v>16</v>
      </c>
    </row>
    <row r="237" spans="1:10">
      <c r="A237" s="1" t="s">
        <v>513</v>
      </c>
      <c r="B237" s="1" t="s">
        <v>332</v>
      </c>
      <c r="C237" s="1" t="s">
        <v>12</v>
      </c>
      <c r="D237" s="1" t="s">
        <v>227</v>
      </c>
      <c r="E237" s="1" t="s">
        <v>22</v>
      </c>
      <c r="F237" s="2">
        <v>43435</v>
      </c>
      <c r="G237" s="1">
        <v>18100</v>
      </c>
      <c r="H237" s="1">
        <v>4</v>
      </c>
      <c r="I237" s="1" t="s">
        <v>15</v>
      </c>
      <c r="J237" s="1" t="s">
        <v>29</v>
      </c>
    </row>
    <row r="238" spans="1:10">
      <c r="A238" s="1" t="s">
        <v>514</v>
      </c>
      <c r="B238" s="1" t="s">
        <v>515</v>
      </c>
      <c r="C238" s="1" t="s">
        <v>36</v>
      </c>
      <c r="D238" s="1" t="s">
        <v>37</v>
      </c>
      <c r="E238" s="1" t="s">
        <v>22</v>
      </c>
      <c r="F238" s="2">
        <v>42573</v>
      </c>
      <c r="G238" s="1">
        <v>8700</v>
      </c>
      <c r="H238" s="1">
        <v>4</v>
      </c>
      <c r="I238" s="1" t="s">
        <v>61</v>
      </c>
      <c r="J238" s="1" t="s">
        <v>16</v>
      </c>
    </row>
    <row r="239" spans="1:10">
      <c r="A239" s="1" t="s">
        <v>516</v>
      </c>
      <c r="B239" s="1" t="s">
        <v>360</v>
      </c>
      <c r="C239" s="1" t="s">
        <v>68</v>
      </c>
      <c r="D239" s="1" t="s">
        <v>177</v>
      </c>
      <c r="E239" s="1" t="s">
        <v>14</v>
      </c>
      <c r="F239" s="2">
        <v>44892</v>
      </c>
      <c r="G239" s="1">
        <v>12300</v>
      </c>
      <c r="H239" s="1">
        <v>3</v>
      </c>
      <c r="I239" s="1" t="s">
        <v>15</v>
      </c>
      <c r="J239" s="1" t="s">
        <v>29</v>
      </c>
    </row>
    <row r="240" spans="1:10">
      <c r="A240" s="1" t="s">
        <v>517</v>
      </c>
      <c r="B240" s="1" t="s">
        <v>26</v>
      </c>
      <c r="C240" s="1" t="s">
        <v>36</v>
      </c>
      <c r="D240" s="1" t="s">
        <v>37</v>
      </c>
      <c r="E240" s="1" t="s">
        <v>14</v>
      </c>
      <c r="F240" s="2">
        <v>45584</v>
      </c>
      <c r="G240" s="1">
        <v>10100</v>
      </c>
      <c r="H240" s="1">
        <v>4</v>
      </c>
      <c r="I240" s="1" t="s">
        <v>15</v>
      </c>
      <c r="J240" s="1" t="s">
        <v>55</v>
      </c>
    </row>
    <row r="241" spans="1:10">
      <c r="A241" s="1" t="s">
        <v>518</v>
      </c>
      <c r="B241" s="1" t="s">
        <v>519</v>
      </c>
      <c r="C241" s="1" t="s">
        <v>27</v>
      </c>
      <c r="D241" s="1" t="s">
        <v>28</v>
      </c>
      <c r="E241" s="1" t="s">
        <v>22</v>
      </c>
      <c r="F241" s="2">
        <v>44707</v>
      </c>
      <c r="G241" s="1">
        <v>12700</v>
      </c>
      <c r="H241" s="1">
        <v>4</v>
      </c>
      <c r="I241" s="1" t="s">
        <v>15</v>
      </c>
      <c r="J241" s="1" t="s">
        <v>44</v>
      </c>
    </row>
    <row r="242" spans="1:10">
      <c r="A242" s="1" t="s">
        <v>520</v>
      </c>
      <c r="B242" s="1" t="s">
        <v>521</v>
      </c>
      <c r="C242" s="1" t="s">
        <v>20</v>
      </c>
      <c r="D242" s="1" t="s">
        <v>218</v>
      </c>
      <c r="E242" s="1" t="s">
        <v>22</v>
      </c>
      <c r="F242" s="2">
        <v>42189</v>
      </c>
      <c r="G242" s="1">
        <v>11000</v>
      </c>
      <c r="H242" s="1">
        <v>4</v>
      </c>
      <c r="I242" s="1" t="s">
        <v>135</v>
      </c>
      <c r="J242" s="1" t="s">
        <v>16</v>
      </c>
    </row>
    <row r="243" spans="1:10">
      <c r="A243" s="1" t="s">
        <v>522</v>
      </c>
      <c r="B243" s="1" t="s">
        <v>523</v>
      </c>
      <c r="C243" s="1" t="s">
        <v>20</v>
      </c>
      <c r="D243" s="1" t="s">
        <v>218</v>
      </c>
      <c r="E243" s="1" t="s">
        <v>14</v>
      </c>
      <c r="F243" s="2">
        <v>43125</v>
      </c>
      <c r="G243" s="1">
        <v>9800</v>
      </c>
      <c r="H243" s="1">
        <v>3</v>
      </c>
      <c r="I243" s="1" t="s">
        <v>15</v>
      </c>
      <c r="J243" s="1" t="s">
        <v>29</v>
      </c>
    </row>
    <row r="244" spans="1:10">
      <c r="A244" s="1" t="s">
        <v>524</v>
      </c>
      <c r="B244" s="1" t="s">
        <v>525</v>
      </c>
      <c r="C244" s="1" t="s">
        <v>36</v>
      </c>
      <c r="D244" s="1" t="s">
        <v>101</v>
      </c>
      <c r="E244" s="1" t="s">
        <v>14</v>
      </c>
      <c r="F244" s="2">
        <v>44300</v>
      </c>
      <c r="G244" s="1">
        <v>7500</v>
      </c>
      <c r="H244" s="1">
        <v>4</v>
      </c>
      <c r="I244" s="1" t="s">
        <v>15</v>
      </c>
      <c r="J244" s="1" t="s">
        <v>16</v>
      </c>
    </row>
    <row r="245" spans="1:10">
      <c r="A245" s="1" t="s">
        <v>526</v>
      </c>
      <c r="B245" s="1" t="s">
        <v>408</v>
      </c>
      <c r="C245" s="1" t="s">
        <v>20</v>
      </c>
      <c r="D245" s="1" t="s">
        <v>277</v>
      </c>
      <c r="E245" s="1" t="s">
        <v>14</v>
      </c>
      <c r="F245" s="2">
        <v>41687</v>
      </c>
      <c r="G245" s="1">
        <v>5800</v>
      </c>
      <c r="H245" s="1">
        <v>5</v>
      </c>
      <c r="I245" s="1" t="s">
        <v>15</v>
      </c>
      <c r="J245" s="1" t="s">
        <v>16</v>
      </c>
    </row>
    <row r="246" spans="1:10">
      <c r="A246" s="1" t="s">
        <v>527</v>
      </c>
      <c r="B246" s="1" t="s">
        <v>528</v>
      </c>
      <c r="C246" s="1" t="s">
        <v>27</v>
      </c>
      <c r="D246" s="1" t="s">
        <v>529</v>
      </c>
      <c r="E246" s="1" t="s">
        <v>14</v>
      </c>
      <c r="F246" s="2">
        <v>43887</v>
      </c>
      <c r="G246" s="1">
        <v>18500</v>
      </c>
      <c r="H246" s="1">
        <v>2</v>
      </c>
      <c r="I246" s="1" t="s">
        <v>15</v>
      </c>
      <c r="J246" s="1" t="s">
        <v>55</v>
      </c>
    </row>
    <row r="247" spans="1:10">
      <c r="A247" s="1" t="s">
        <v>530</v>
      </c>
      <c r="B247" s="1" t="s">
        <v>531</v>
      </c>
      <c r="C247" s="1" t="s">
        <v>68</v>
      </c>
      <c r="D247" s="1" t="s">
        <v>170</v>
      </c>
      <c r="E247" s="1" t="s">
        <v>14</v>
      </c>
      <c r="F247" s="2">
        <v>45243</v>
      </c>
      <c r="G247" s="1">
        <v>12900</v>
      </c>
      <c r="H247" s="1">
        <v>2</v>
      </c>
      <c r="I247" s="1" t="s">
        <v>15</v>
      </c>
      <c r="J247" s="1" t="s">
        <v>55</v>
      </c>
    </row>
    <row r="248" spans="1:10">
      <c r="A248" s="1" t="s">
        <v>532</v>
      </c>
      <c r="B248" s="1" t="s">
        <v>533</v>
      </c>
      <c r="C248" s="1" t="s">
        <v>59</v>
      </c>
      <c r="D248" s="1" t="s">
        <v>106</v>
      </c>
      <c r="E248" s="1" t="s">
        <v>22</v>
      </c>
      <c r="F248" s="2">
        <v>44809</v>
      </c>
      <c r="G248" s="1">
        <v>8300</v>
      </c>
      <c r="H248" s="1">
        <v>4</v>
      </c>
      <c r="I248" s="1" t="s">
        <v>15</v>
      </c>
      <c r="J248" s="1" t="s">
        <v>44</v>
      </c>
    </row>
    <row r="249" spans="1:10">
      <c r="A249" s="1" t="s">
        <v>534</v>
      </c>
      <c r="B249" s="1" t="s">
        <v>535</v>
      </c>
      <c r="C249" s="1" t="s">
        <v>59</v>
      </c>
      <c r="D249" s="1" t="s">
        <v>106</v>
      </c>
      <c r="E249" s="1" t="s">
        <v>14</v>
      </c>
      <c r="F249" s="2">
        <v>45351</v>
      </c>
      <c r="G249" s="1">
        <v>9300</v>
      </c>
      <c r="H249" s="1">
        <v>4</v>
      </c>
      <c r="I249" s="1" t="s">
        <v>135</v>
      </c>
      <c r="J249" s="1" t="s">
        <v>16</v>
      </c>
    </row>
    <row r="250" spans="1:10">
      <c r="A250" s="1" t="s">
        <v>536</v>
      </c>
      <c r="B250" s="1" t="s">
        <v>79</v>
      </c>
      <c r="C250" s="1" t="s">
        <v>36</v>
      </c>
      <c r="D250" s="1" t="s">
        <v>101</v>
      </c>
      <c r="E250" s="1" t="s">
        <v>14</v>
      </c>
      <c r="F250" s="2">
        <v>42716</v>
      </c>
      <c r="G250" s="1">
        <v>7700</v>
      </c>
      <c r="H250" s="1">
        <v>4</v>
      </c>
      <c r="I250" s="1" t="s">
        <v>15</v>
      </c>
      <c r="J250" s="1" t="s">
        <v>23</v>
      </c>
    </row>
    <row r="251" spans="1:10">
      <c r="A251" s="1" t="s">
        <v>537</v>
      </c>
      <c r="B251" s="1" t="s">
        <v>533</v>
      </c>
      <c r="C251" s="1" t="s">
        <v>20</v>
      </c>
      <c r="D251" s="1" t="s">
        <v>21</v>
      </c>
      <c r="E251" s="1" t="s">
        <v>22</v>
      </c>
      <c r="F251" s="2">
        <v>44443</v>
      </c>
      <c r="G251" s="1">
        <v>6700</v>
      </c>
      <c r="H251" s="1">
        <v>3</v>
      </c>
      <c r="I251" s="1" t="s">
        <v>15</v>
      </c>
      <c r="J251" s="1" t="s">
        <v>16</v>
      </c>
    </row>
    <row r="252" spans="1:10">
      <c r="A252" s="1" t="s">
        <v>538</v>
      </c>
      <c r="B252" s="1" t="s">
        <v>539</v>
      </c>
      <c r="C252" s="1" t="s">
        <v>27</v>
      </c>
      <c r="D252" s="1" t="s">
        <v>28</v>
      </c>
      <c r="E252" s="1" t="s">
        <v>22</v>
      </c>
      <c r="F252" s="2">
        <v>43709</v>
      </c>
      <c r="G252" s="1">
        <v>13000</v>
      </c>
      <c r="H252" s="1">
        <v>3</v>
      </c>
      <c r="I252" s="1" t="s">
        <v>15</v>
      </c>
      <c r="J252" s="1" t="s">
        <v>16</v>
      </c>
    </row>
    <row r="253" spans="1:10">
      <c r="A253" s="1" t="s">
        <v>540</v>
      </c>
      <c r="B253" s="1" t="s">
        <v>19</v>
      </c>
      <c r="C253" s="1" t="s">
        <v>36</v>
      </c>
      <c r="D253" s="1" t="s">
        <v>37</v>
      </c>
      <c r="E253" s="1" t="s">
        <v>22</v>
      </c>
      <c r="F253" s="2">
        <v>45413</v>
      </c>
      <c r="G253" s="1">
        <v>11300</v>
      </c>
      <c r="H253" s="1">
        <v>4</v>
      </c>
      <c r="I253" s="1" t="s">
        <v>15</v>
      </c>
      <c r="J253" s="1" t="s">
        <v>55</v>
      </c>
    </row>
    <row r="254" spans="1:10">
      <c r="A254" s="1" t="s">
        <v>541</v>
      </c>
      <c r="B254" s="1" t="s">
        <v>268</v>
      </c>
      <c r="C254" s="1" t="s">
        <v>47</v>
      </c>
      <c r="D254" s="1" t="s">
        <v>48</v>
      </c>
      <c r="E254" s="1" t="s">
        <v>22</v>
      </c>
      <c r="F254" s="2">
        <v>45327</v>
      </c>
      <c r="G254" s="1">
        <v>10600</v>
      </c>
      <c r="H254" s="1">
        <v>5</v>
      </c>
      <c r="I254" s="1" t="s">
        <v>15</v>
      </c>
      <c r="J254" s="1" t="s">
        <v>29</v>
      </c>
    </row>
    <row r="255" spans="1:10">
      <c r="A255" s="1" t="s">
        <v>542</v>
      </c>
      <c r="B255" s="1" t="s">
        <v>88</v>
      </c>
      <c r="C255" s="1" t="s">
        <v>68</v>
      </c>
      <c r="D255" s="1" t="s">
        <v>69</v>
      </c>
      <c r="E255" s="1" t="s">
        <v>14</v>
      </c>
      <c r="F255" s="2">
        <v>41939</v>
      </c>
      <c r="G255" s="1">
        <v>12700</v>
      </c>
      <c r="H255" s="1">
        <v>2</v>
      </c>
      <c r="I255" s="1" t="s">
        <v>15</v>
      </c>
      <c r="J255" s="1" t="s">
        <v>23</v>
      </c>
    </row>
    <row r="256" spans="1:10">
      <c r="A256" s="1" t="s">
        <v>543</v>
      </c>
      <c r="B256" s="1" t="s">
        <v>544</v>
      </c>
      <c r="C256" s="1" t="s">
        <v>27</v>
      </c>
      <c r="D256" s="1" t="s">
        <v>40</v>
      </c>
      <c r="E256" s="1" t="s">
        <v>22</v>
      </c>
      <c r="F256" s="2">
        <v>45292</v>
      </c>
      <c r="G256" s="1">
        <v>10900</v>
      </c>
      <c r="H256" s="1">
        <v>1</v>
      </c>
      <c r="I256" s="1" t="s">
        <v>15</v>
      </c>
      <c r="J256" s="1" t="s">
        <v>16</v>
      </c>
    </row>
    <row r="257" spans="1:10">
      <c r="A257" s="1" t="s">
        <v>545</v>
      </c>
      <c r="B257" s="1" t="s">
        <v>546</v>
      </c>
      <c r="C257" s="1" t="s">
        <v>68</v>
      </c>
      <c r="D257" s="1" t="s">
        <v>69</v>
      </c>
      <c r="E257" s="1" t="s">
        <v>22</v>
      </c>
      <c r="F257" s="2">
        <v>45857</v>
      </c>
      <c r="G257" s="1">
        <v>9700</v>
      </c>
      <c r="H257" s="1">
        <v>3</v>
      </c>
      <c r="I257" s="1" t="s">
        <v>15</v>
      </c>
      <c r="J257" s="1" t="s">
        <v>16</v>
      </c>
    </row>
    <row r="258" spans="1:10">
      <c r="A258" s="1" t="s">
        <v>547</v>
      </c>
      <c r="B258" s="1" t="s">
        <v>548</v>
      </c>
      <c r="C258" s="1" t="s">
        <v>121</v>
      </c>
      <c r="D258" s="1" t="s">
        <v>163</v>
      </c>
      <c r="E258" s="1" t="s">
        <v>14</v>
      </c>
      <c r="F258" s="2">
        <v>43326</v>
      </c>
      <c r="G258" s="1">
        <v>8600</v>
      </c>
      <c r="H258" s="1">
        <v>1</v>
      </c>
      <c r="I258" s="1" t="s">
        <v>15</v>
      </c>
      <c r="J258" s="1" t="s">
        <v>16</v>
      </c>
    </row>
    <row r="259" spans="1:10">
      <c r="A259" s="1" t="s">
        <v>549</v>
      </c>
      <c r="B259" s="1" t="s">
        <v>300</v>
      </c>
      <c r="C259" s="1" t="s">
        <v>47</v>
      </c>
      <c r="D259" s="1" t="s">
        <v>317</v>
      </c>
      <c r="E259" s="1" t="s">
        <v>22</v>
      </c>
      <c r="F259" s="2">
        <v>42599</v>
      </c>
      <c r="G259" s="1">
        <v>8900</v>
      </c>
      <c r="H259" s="1">
        <v>2</v>
      </c>
      <c r="I259" s="1" t="s">
        <v>135</v>
      </c>
      <c r="J259" s="1" t="s">
        <v>44</v>
      </c>
    </row>
    <row r="260" spans="1:10">
      <c r="A260" s="1" t="s">
        <v>550</v>
      </c>
      <c r="B260" s="1" t="s">
        <v>211</v>
      </c>
      <c r="C260" s="1" t="s">
        <v>68</v>
      </c>
      <c r="D260" s="1" t="s">
        <v>69</v>
      </c>
      <c r="E260" s="1" t="s">
        <v>14</v>
      </c>
      <c r="F260" s="2">
        <v>43215</v>
      </c>
      <c r="G260" s="1">
        <v>11800</v>
      </c>
      <c r="H260" s="1">
        <v>2</v>
      </c>
      <c r="I260" s="1" t="s">
        <v>15</v>
      </c>
      <c r="J260" s="1" t="s">
        <v>29</v>
      </c>
    </row>
    <row r="261" spans="1:10">
      <c r="A261" s="1" t="s">
        <v>551</v>
      </c>
      <c r="B261" s="1" t="s">
        <v>552</v>
      </c>
      <c r="C261" s="1" t="s">
        <v>121</v>
      </c>
      <c r="D261" s="1" t="s">
        <v>163</v>
      </c>
      <c r="E261" s="1" t="s">
        <v>14</v>
      </c>
      <c r="F261" s="2">
        <v>43065</v>
      </c>
      <c r="G261" s="1">
        <v>6300</v>
      </c>
      <c r="H261" s="1">
        <v>4</v>
      </c>
      <c r="I261" s="1" t="s">
        <v>15</v>
      </c>
      <c r="J261" s="1" t="s">
        <v>16</v>
      </c>
    </row>
    <row r="262" spans="1:10">
      <c r="A262" s="1" t="s">
        <v>553</v>
      </c>
      <c r="B262" s="1" t="s">
        <v>554</v>
      </c>
      <c r="C262" s="1" t="s">
        <v>68</v>
      </c>
      <c r="D262" s="1" t="s">
        <v>177</v>
      </c>
      <c r="E262" s="1" t="s">
        <v>14</v>
      </c>
      <c r="F262" s="2">
        <v>44033</v>
      </c>
      <c r="G262" s="1">
        <v>14200</v>
      </c>
      <c r="H262" s="1">
        <v>3</v>
      </c>
      <c r="I262" s="1" t="s">
        <v>15</v>
      </c>
      <c r="J262" s="1" t="s">
        <v>16</v>
      </c>
    </row>
    <row r="263" spans="1:10">
      <c r="A263" s="1" t="s">
        <v>555</v>
      </c>
      <c r="B263" s="1" t="s">
        <v>556</v>
      </c>
      <c r="C263" s="1" t="s">
        <v>12</v>
      </c>
      <c r="D263" s="1" t="s">
        <v>32</v>
      </c>
      <c r="E263" s="1" t="s">
        <v>14</v>
      </c>
      <c r="F263" s="2">
        <v>44728</v>
      </c>
      <c r="G263" s="1">
        <v>11200</v>
      </c>
      <c r="H263" s="1">
        <v>3</v>
      </c>
      <c r="I263" s="1" t="s">
        <v>15</v>
      </c>
      <c r="J263" s="1" t="s">
        <v>29</v>
      </c>
    </row>
    <row r="264" spans="1:10">
      <c r="A264" s="1" t="s">
        <v>557</v>
      </c>
      <c r="B264" s="1" t="s">
        <v>558</v>
      </c>
      <c r="C264" s="1" t="s">
        <v>68</v>
      </c>
      <c r="D264" s="1" t="s">
        <v>177</v>
      </c>
      <c r="E264" s="1" t="s">
        <v>14</v>
      </c>
      <c r="F264" s="2">
        <v>43053</v>
      </c>
      <c r="G264" s="1">
        <v>12800</v>
      </c>
      <c r="H264" s="1">
        <v>2</v>
      </c>
      <c r="I264" s="1" t="s">
        <v>15</v>
      </c>
      <c r="J264" s="1" t="s">
        <v>29</v>
      </c>
    </row>
    <row r="265" spans="1:10">
      <c r="A265" s="1" t="s">
        <v>559</v>
      </c>
      <c r="B265" s="1" t="s">
        <v>560</v>
      </c>
      <c r="C265" s="1" t="s">
        <v>12</v>
      </c>
      <c r="D265" s="1" t="s">
        <v>64</v>
      </c>
      <c r="E265" s="1" t="s">
        <v>22</v>
      </c>
      <c r="F265" s="2">
        <v>43806</v>
      </c>
      <c r="G265" s="1">
        <v>9600</v>
      </c>
      <c r="H265" s="1">
        <v>2</v>
      </c>
      <c r="I265" s="1" t="s">
        <v>15</v>
      </c>
      <c r="J265" s="1" t="s">
        <v>16</v>
      </c>
    </row>
    <row r="266" spans="1:10">
      <c r="A266" s="1" t="s">
        <v>561</v>
      </c>
      <c r="B266" s="1" t="s">
        <v>165</v>
      </c>
      <c r="C266" s="1" t="s">
        <v>12</v>
      </c>
      <c r="D266" s="1" t="s">
        <v>32</v>
      </c>
      <c r="E266" s="1" t="s">
        <v>14</v>
      </c>
      <c r="F266" s="2">
        <v>43111</v>
      </c>
      <c r="G266" s="1">
        <v>9200</v>
      </c>
      <c r="H266" s="1">
        <v>2</v>
      </c>
      <c r="I266" s="1" t="s">
        <v>15</v>
      </c>
      <c r="J266" s="1" t="s">
        <v>16</v>
      </c>
    </row>
    <row r="267" spans="1:10">
      <c r="A267" s="1" t="s">
        <v>562</v>
      </c>
      <c r="B267" s="1" t="s">
        <v>563</v>
      </c>
      <c r="C267" s="1" t="s">
        <v>59</v>
      </c>
      <c r="D267" s="1" t="s">
        <v>60</v>
      </c>
      <c r="E267" s="1" t="s">
        <v>14</v>
      </c>
      <c r="F267" s="2">
        <v>44321</v>
      </c>
      <c r="G267" s="1">
        <v>16000</v>
      </c>
      <c r="H267" s="1">
        <v>4</v>
      </c>
      <c r="I267" s="1" t="s">
        <v>15</v>
      </c>
      <c r="J267" s="1" t="s">
        <v>44</v>
      </c>
    </row>
    <row r="268" spans="1:10">
      <c r="A268" s="1" t="s">
        <v>564</v>
      </c>
      <c r="B268" s="1" t="s">
        <v>565</v>
      </c>
      <c r="C268" s="1" t="s">
        <v>27</v>
      </c>
      <c r="D268" s="1" t="s">
        <v>28</v>
      </c>
      <c r="E268" s="1" t="s">
        <v>14</v>
      </c>
      <c r="F268" s="2">
        <v>43511</v>
      </c>
      <c r="G268" s="1">
        <v>11700</v>
      </c>
      <c r="H268" s="1">
        <v>2</v>
      </c>
      <c r="I268" s="1" t="s">
        <v>15</v>
      </c>
      <c r="J268" s="1" t="s">
        <v>16</v>
      </c>
    </row>
    <row r="269" spans="1:10">
      <c r="A269" s="1" t="s">
        <v>566</v>
      </c>
      <c r="B269" s="1" t="s">
        <v>567</v>
      </c>
      <c r="C269" s="1" t="s">
        <v>59</v>
      </c>
      <c r="D269" s="1" t="s">
        <v>127</v>
      </c>
      <c r="E269" s="1" t="s">
        <v>14</v>
      </c>
      <c r="F269" s="2">
        <v>43070</v>
      </c>
      <c r="G269" s="1">
        <v>20800</v>
      </c>
      <c r="H269" s="1">
        <v>3</v>
      </c>
      <c r="I269" s="1" t="s">
        <v>15</v>
      </c>
      <c r="J269" s="1" t="s">
        <v>55</v>
      </c>
    </row>
    <row r="270" spans="1:10">
      <c r="A270" s="1" t="s">
        <v>568</v>
      </c>
      <c r="B270" s="1" t="s">
        <v>569</v>
      </c>
      <c r="C270" s="1" t="s">
        <v>36</v>
      </c>
      <c r="D270" s="1" t="s">
        <v>101</v>
      </c>
      <c r="E270" s="1" t="s">
        <v>14</v>
      </c>
      <c r="F270" s="2">
        <v>46207</v>
      </c>
      <c r="G270" s="1">
        <v>11000</v>
      </c>
      <c r="H270" s="1">
        <v>4</v>
      </c>
      <c r="I270" s="1" t="s">
        <v>15</v>
      </c>
      <c r="J270" s="1" t="s">
        <v>29</v>
      </c>
    </row>
    <row r="271" spans="1:10">
      <c r="A271" s="1" t="s">
        <v>570</v>
      </c>
      <c r="B271" s="1" t="s">
        <v>571</v>
      </c>
      <c r="C271" s="1" t="s">
        <v>27</v>
      </c>
      <c r="D271" s="1" t="s">
        <v>28</v>
      </c>
      <c r="E271" s="1" t="s">
        <v>22</v>
      </c>
      <c r="F271" s="2">
        <v>45168</v>
      </c>
      <c r="G271" s="1">
        <v>13400</v>
      </c>
      <c r="H271" s="1">
        <v>2</v>
      </c>
      <c r="I271" s="1" t="s">
        <v>135</v>
      </c>
      <c r="J271" s="1" t="s">
        <v>16</v>
      </c>
    </row>
    <row r="272" spans="1:10">
      <c r="A272" s="1" t="s">
        <v>572</v>
      </c>
      <c r="B272" s="1" t="s">
        <v>573</v>
      </c>
      <c r="C272" s="1" t="s">
        <v>27</v>
      </c>
      <c r="D272" s="1" t="s">
        <v>43</v>
      </c>
      <c r="E272" s="1" t="s">
        <v>14</v>
      </c>
      <c r="F272" s="2">
        <v>43354</v>
      </c>
      <c r="G272" s="1">
        <v>17100</v>
      </c>
      <c r="H272" s="1">
        <v>4</v>
      </c>
      <c r="I272" s="1" t="s">
        <v>15</v>
      </c>
      <c r="J272" s="1" t="s">
        <v>29</v>
      </c>
    </row>
    <row r="273" spans="1:10">
      <c r="A273" s="1" t="s">
        <v>574</v>
      </c>
      <c r="B273" s="1" t="s">
        <v>575</v>
      </c>
      <c r="C273" s="1" t="s">
        <v>36</v>
      </c>
      <c r="D273" s="1" t="s">
        <v>101</v>
      </c>
      <c r="E273" s="1" t="s">
        <v>14</v>
      </c>
      <c r="F273" s="2">
        <v>42645</v>
      </c>
      <c r="G273" s="1">
        <v>7500</v>
      </c>
      <c r="H273" s="1">
        <v>4</v>
      </c>
      <c r="I273" s="1" t="s">
        <v>15</v>
      </c>
      <c r="J273" s="1" t="s">
        <v>23</v>
      </c>
    </row>
    <row r="274" spans="1:10">
      <c r="A274" s="1" t="s">
        <v>576</v>
      </c>
      <c r="B274" s="1" t="s">
        <v>577</v>
      </c>
      <c r="C274" s="1" t="s">
        <v>68</v>
      </c>
      <c r="D274" s="1" t="s">
        <v>69</v>
      </c>
      <c r="E274" s="1" t="s">
        <v>22</v>
      </c>
      <c r="F274" s="2">
        <v>43418</v>
      </c>
      <c r="G274" s="1">
        <v>13900</v>
      </c>
      <c r="H274" s="1">
        <v>4</v>
      </c>
      <c r="I274" s="1" t="s">
        <v>15</v>
      </c>
      <c r="J274" s="1" t="s">
        <v>16</v>
      </c>
    </row>
    <row r="275" spans="1:10">
      <c r="A275" s="1" t="s">
        <v>578</v>
      </c>
      <c r="B275" s="1" t="s">
        <v>579</v>
      </c>
      <c r="C275" s="1" t="s">
        <v>36</v>
      </c>
      <c r="D275" s="1" t="s">
        <v>37</v>
      </c>
      <c r="E275" s="1" t="s">
        <v>22</v>
      </c>
      <c r="F275" s="2">
        <v>44114</v>
      </c>
      <c r="G275" s="1">
        <v>11900</v>
      </c>
      <c r="H275" s="1">
        <v>2</v>
      </c>
      <c r="I275" s="1" t="s">
        <v>15</v>
      </c>
      <c r="J275" s="1" t="s">
        <v>23</v>
      </c>
    </row>
    <row r="276" spans="1:10">
      <c r="A276" s="1" t="s">
        <v>580</v>
      </c>
      <c r="B276" s="1" t="s">
        <v>581</v>
      </c>
      <c r="C276" s="1" t="s">
        <v>27</v>
      </c>
      <c r="D276" s="1" t="s">
        <v>40</v>
      </c>
      <c r="E276" s="1" t="s">
        <v>14</v>
      </c>
      <c r="F276" s="2">
        <v>44036</v>
      </c>
      <c r="G276" s="1">
        <v>7700</v>
      </c>
      <c r="H276" s="1">
        <v>4</v>
      </c>
      <c r="I276" s="1" t="s">
        <v>15</v>
      </c>
      <c r="J276" s="1" t="s">
        <v>23</v>
      </c>
    </row>
    <row r="277" spans="1:10">
      <c r="A277" s="1" t="s">
        <v>582</v>
      </c>
      <c r="B277" s="1" t="s">
        <v>117</v>
      </c>
      <c r="C277" s="1" t="s">
        <v>121</v>
      </c>
      <c r="D277" s="1" t="s">
        <v>475</v>
      </c>
      <c r="E277" s="1" t="s">
        <v>14</v>
      </c>
      <c r="F277" s="2">
        <v>41775</v>
      </c>
      <c r="G277" s="1">
        <v>11200</v>
      </c>
      <c r="H277" s="1">
        <v>2</v>
      </c>
      <c r="I277" s="1" t="s">
        <v>15</v>
      </c>
      <c r="J277" s="1" t="s">
        <v>29</v>
      </c>
    </row>
    <row r="278" spans="1:10">
      <c r="A278" s="1" t="s">
        <v>583</v>
      </c>
      <c r="B278" s="1" t="s">
        <v>584</v>
      </c>
      <c r="C278" s="1" t="s">
        <v>68</v>
      </c>
      <c r="D278" s="1" t="s">
        <v>170</v>
      </c>
      <c r="E278" s="1" t="s">
        <v>14</v>
      </c>
      <c r="F278" s="2">
        <v>41848</v>
      </c>
      <c r="G278" s="1">
        <v>17200</v>
      </c>
      <c r="H278" s="1">
        <v>5</v>
      </c>
      <c r="I278" s="1" t="s">
        <v>15</v>
      </c>
      <c r="J278" s="1" t="s">
        <v>16</v>
      </c>
    </row>
    <row r="279" spans="1:10">
      <c r="A279" s="1" t="s">
        <v>585</v>
      </c>
      <c r="B279" s="1" t="s">
        <v>143</v>
      </c>
      <c r="C279" s="1" t="s">
        <v>121</v>
      </c>
      <c r="D279" s="1" t="s">
        <v>122</v>
      </c>
      <c r="E279" s="1" t="s">
        <v>22</v>
      </c>
      <c r="F279" s="2">
        <v>42674</v>
      </c>
      <c r="G279" s="1">
        <v>12600</v>
      </c>
      <c r="H279" s="1">
        <v>2</v>
      </c>
      <c r="I279" s="1" t="s">
        <v>15</v>
      </c>
      <c r="J279" s="1" t="s">
        <v>23</v>
      </c>
    </row>
    <row r="280" spans="1:10">
      <c r="A280" s="1" t="s">
        <v>586</v>
      </c>
      <c r="B280" s="1" t="s">
        <v>587</v>
      </c>
      <c r="C280" s="1" t="s">
        <v>59</v>
      </c>
      <c r="D280" s="1" t="s">
        <v>106</v>
      </c>
      <c r="E280" s="1" t="s">
        <v>22</v>
      </c>
      <c r="F280" s="2">
        <v>44714</v>
      </c>
      <c r="G280" s="1">
        <v>11400</v>
      </c>
      <c r="H280" s="1">
        <v>1</v>
      </c>
      <c r="I280" s="1" t="s">
        <v>15</v>
      </c>
      <c r="J280" s="1" t="s">
        <v>29</v>
      </c>
    </row>
    <row r="281" spans="1:10">
      <c r="A281" s="1" t="s">
        <v>588</v>
      </c>
      <c r="B281" s="1" t="s">
        <v>589</v>
      </c>
      <c r="C281" s="1" t="s">
        <v>59</v>
      </c>
      <c r="D281" s="1" t="s">
        <v>118</v>
      </c>
      <c r="E281" s="1" t="s">
        <v>14</v>
      </c>
      <c r="F281" s="2">
        <v>43620</v>
      </c>
      <c r="G281" s="1">
        <v>5900</v>
      </c>
      <c r="H281" s="1">
        <v>3</v>
      </c>
      <c r="I281" s="1" t="s">
        <v>15</v>
      </c>
      <c r="J281" s="1" t="s">
        <v>55</v>
      </c>
    </row>
    <row r="282" spans="1:10">
      <c r="A282" s="1" t="s">
        <v>590</v>
      </c>
      <c r="B282" s="1" t="s">
        <v>79</v>
      </c>
      <c r="C282" s="1" t="s">
        <v>12</v>
      </c>
      <c r="D282" s="1" t="s">
        <v>132</v>
      </c>
      <c r="E282" s="1" t="s">
        <v>14</v>
      </c>
      <c r="F282" s="2">
        <v>45824</v>
      </c>
      <c r="G282" s="1">
        <v>16600</v>
      </c>
      <c r="H282" s="1">
        <v>3</v>
      </c>
      <c r="I282" s="1" t="s">
        <v>135</v>
      </c>
      <c r="J282" s="1" t="s">
        <v>16</v>
      </c>
    </row>
    <row r="283" spans="1:10">
      <c r="A283" s="1" t="s">
        <v>591</v>
      </c>
      <c r="B283" s="1" t="s">
        <v>592</v>
      </c>
      <c r="C283" s="1" t="s">
        <v>20</v>
      </c>
      <c r="D283" s="1" t="s">
        <v>21</v>
      </c>
      <c r="E283" s="1" t="s">
        <v>14</v>
      </c>
      <c r="F283" s="2">
        <v>46011</v>
      </c>
      <c r="G283" s="1">
        <v>7400</v>
      </c>
      <c r="H283" s="1">
        <v>5</v>
      </c>
      <c r="I283" s="1" t="s">
        <v>15</v>
      </c>
      <c r="J283" s="1" t="s">
        <v>23</v>
      </c>
    </row>
    <row r="284" spans="1:10">
      <c r="A284" s="1" t="s">
        <v>593</v>
      </c>
      <c r="B284" s="1" t="s">
        <v>594</v>
      </c>
      <c r="C284" s="1" t="s">
        <v>36</v>
      </c>
      <c r="D284" s="1" t="s">
        <v>320</v>
      </c>
      <c r="E284" s="1" t="s">
        <v>14</v>
      </c>
      <c r="F284" s="2">
        <v>45379</v>
      </c>
      <c r="G284" s="1">
        <v>6800</v>
      </c>
      <c r="H284" s="1">
        <v>2</v>
      </c>
      <c r="I284" s="1" t="s">
        <v>15</v>
      </c>
      <c r="J284" s="1" t="s">
        <v>23</v>
      </c>
    </row>
    <row r="285" spans="1:10">
      <c r="A285" s="1" t="s">
        <v>595</v>
      </c>
      <c r="B285" s="1" t="s">
        <v>596</v>
      </c>
      <c r="C285" s="1" t="s">
        <v>12</v>
      </c>
      <c r="D285" s="1" t="s">
        <v>132</v>
      </c>
      <c r="E285" s="1" t="s">
        <v>22</v>
      </c>
      <c r="F285" s="2">
        <v>45864</v>
      </c>
      <c r="G285" s="1">
        <v>14600</v>
      </c>
      <c r="H285" s="1">
        <v>1</v>
      </c>
      <c r="I285" s="1" t="s">
        <v>15</v>
      </c>
      <c r="J285" s="1" t="s">
        <v>23</v>
      </c>
    </row>
    <row r="286" spans="1:10">
      <c r="A286" s="1" t="s">
        <v>597</v>
      </c>
      <c r="B286" s="1" t="s">
        <v>598</v>
      </c>
      <c r="C286" s="1" t="s">
        <v>59</v>
      </c>
      <c r="D286" s="1" t="s">
        <v>86</v>
      </c>
      <c r="E286" s="1" t="s">
        <v>14</v>
      </c>
      <c r="F286" s="2">
        <v>43197</v>
      </c>
      <c r="G286" s="1">
        <v>13300</v>
      </c>
      <c r="H286" s="1">
        <v>5</v>
      </c>
      <c r="I286" s="1" t="s">
        <v>15</v>
      </c>
      <c r="J286" s="1" t="s">
        <v>29</v>
      </c>
    </row>
    <row r="287" spans="1:10">
      <c r="A287" s="1" t="s">
        <v>599</v>
      </c>
      <c r="B287" s="1" t="s">
        <v>600</v>
      </c>
      <c r="C287" s="1" t="s">
        <v>121</v>
      </c>
      <c r="D287" s="1" t="s">
        <v>163</v>
      </c>
      <c r="E287" s="1" t="s">
        <v>22</v>
      </c>
      <c r="F287" s="2">
        <v>44569</v>
      </c>
      <c r="G287" s="1">
        <v>6400</v>
      </c>
      <c r="H287" s="1">
        <v>4</v>
      </c>
      <c r="I287" s="1" t="s">
        <v>15</v>
      </c>
      <c r="J287" s="1" t="s">
        <v>16</v>
      </c>
    </row>
    <row r="288" spans="1:10">
      <c r="A288" s="1" t="s">
        <v>601</v>
      </c>
      <c r="B288" s="1" t="s">
        <v>602</v>
      </c>
      <c r="C288" s="1" t="s">
        <v>59</v>
      </c>
      <c r="D288" s="1" t="s">
        <v>86</v>
      </c>
      <c r="E288" s="1" t="s">
        <v>22</v>
      </c>
      <c r="F288" s="2">
        <v>43702</v>
      </c>
      <c r="G288" s="1">
        <v>13400</v>
      </c>
      <c r="H288" s="1">
        <v>5</v>
      </c>
      <c r="I288" s="1" t="s">
        <v>15</v>
      </c>
      <c r="J288" s="1" t="s">
        <v>16</v>
      </c>
    </row>
    <row r="289" spans="1:10">
      <c r="A289" s="1" t="s">
        <v>603</v>
      </c>
      <c r="B289" s="1" t="s">
        <v>226</v>
      </c>
      <c r="C289" s="1" t="s">
        <v>59</v>
      </c>
      <c r="D289" s="1" t="s">
        <v>106</v>
      </c>
      <c r="E289" s="1" t="s">
        <v>14</v>
      </c>
      <c r="F289" s="2">
        <v>43688</v>
      </c>
      <c r="G289" s="1">
        <v>9800</v>
      </c>
      <c r="H289" s="1">
        <v>4</v>
      </c>
      <c r="I289" s="1" t="s">
        <v>15</v>
      </c>
      <c r="J289" s="1" t="s">
        <v>55</v>
      </c>
    </row>
    <row r="290" spans="1:10">
      <c r="A290" s="1" t="s">
        <v>604</v>
      </c>
      <c r="B290" s="1" t="s">
        <v>605</v>
      </c>
      <c r="C290" s="1" t="s">
        <v>121</v>
      </c>
      <c r="D290" s="1" t="s">
        <v>475</v>
      </c>
      <c r="E290" s="1" t="s">
        <v>14</v>
      </c>
      <c r="F290" s="2">
        <v>44907</v>
      </c>
      <c r="G290" s="1">
        <v>14500</v>
      </c>
      <c r="H290" s="1">
        <v>5</v>
      </c>
      <c r="I290" s="1" t="s">
        <v>15</v>
      </c>
      <c r="J290" s="1" t="s">
        <v>16</v>
      </c>
    </row>
    <row r="291" spans="1:10">
      <c r="A291" s="1" t="s">
        <v>606</v>
      </c>
      <c r="B291" s="1" t="s">
        <v>607</v>
      </c>
      <c r="C291" s="1" t="s">
        <v>36</v>
      </c>
      <c r="D291" s="1" t="s">
        <v>72</v>
      </c>
      <c r="E291" s="1" t="s">
        <v>14</v>
      </c>
      <c r="F291" s="2">
        <v>41689</v>
      </c>
      <c r="G291" s="1">
        <v>11900</v>
      </c>
      <c r="H291" s="1">
        <v>5</v>
      </c>
      <c r="I291" s="1" t="s">
        <v>15</v>
      </c>
      <c r="J291" s="1" t="s">
        <v>23</v>
      </c>
    </row>
    <row r="292" spans="1:10">
      <c r="A292" s="1" t="s">
        <v>608</v>
      </c>
      <c r="B292" s="1" t="s">
        <v>364</v>
      </c>
      <c r="C292" s="1" t="s">
        <v>36</v>
      </c>
      <c r="D292" s="1" t="s">
        <v>320</v>
      </c>
      <c r="E292" s="1" t="s">
        <v>14</v>
      </c>
      <c r="F292" s="2">
        <v>44132</v>
      </c>
      <c r="G292" s="1">
        <v>7100</v>
      </c>
      <c r="H292" s="1">
        <v>3</v>
      </c>
      <c r="I292" s="1" t="s">
        <v>135</v>
      </c>
      <c r="J292" s="1" t="s">
        <v>23</v>
      </c>
    </row>
    <row r="293" spans="1:10">
      <c r="A293" s="1" t="s">
        <v>609</v>
      </c>
      <c r="B293" s="1" t="s">
        <v>610</v>
      </c>
      <c r="C293" s="1" t="s">
        <v>27</v>
      </c>
      <c r="D293" s="1" t="s">
        <v>28</v>
      </c>
      <c r="E293" s="1" t="s">
        <v>22</v>
      </c>
      <c r="F293" s="2">
        <v>43811</v>
      </c>
      <c r="G293" s="1">
        <v>9600</v>
      </c>
      <c r="H293" s="1">
        <v>3</v>
      </c>
      <c r="I293" s="1" t="s">
        <v>135</v>
      </c>
      <c r="J293" s="1" t="s">
        <v>55</v>
      </c>
    </row>
    <row r="294" spans="1:10">
      <c r="A294" s="1" t="s">
        <v>611</v>
      </c>
      <c r="B294" s="1" t="s">
        <v>134</v>
      </c>
      <c r="C294" s="1" t="s">
        <v>27</v>
      </c>
      <c r="D294" s="1" t="s">
        <v>28</v>
      </c>
      <c r="E294" s="1" t="s">
        <v>14</v>
      </c>
      <c r="F294" s="2">
        <v>44565</v>
      </c>
      <c r="G294" s="1">
        <v>9700</v>
      </c>
      <c r="H294" s="1">
        <v>4</v>
      </c>
      <c r="I294" s="1" t="s">
        <v>15</v>
      </c>
      <c r="J294" s="1" t="s">
        <v>16</v>
      </c>
    </row>
    <row r="295" spans="1:10">
      <c r="A295" s="1" t="s">
        <v>612</v>
      </c>
      <c r="B295" s="1" t="s">
        <v>613</v>
      </c>
      <c r="C295" s="1" t="s">
        <v>47</v>
      </c>
      <c r="D295" s="1" t="s">
        <v>256</v>
      </c>
      <c r="E295" s="1" t="s">
        <v>22</v>
      </c>
      <c r="F295" s="2">
        <v>43618</v>
      </c>
      <c r="G295" s="1">
        <v>14100</v>
      </c>
      <c r="H295" s="1">
        <v>5</v>
      </c>
      <c r="I295" s="1" t="s">
        <v>135</v>
      </c>
      <c r="J295" s="1" t="s">
        <v>23</v>
      </c>
    </row>
    <row r="296" spans="1:10">
      <c r="A296" s="1" t="s">
        <v>614</v>
      </c>
      <c r="B296" s="1" t="s">
        <v>440</v>
      </c>
      <c r="C296" s="1" t="s">
        <v>68</v>
      </c>
      <c r="D296" s="1" t="s">
        <v>91</v>
      </c>
      <c r="E296" s="1" t="s">
        <v>14</v>
      </c>
      <c r="F296" s="2">
        <v>42927</v>
      </c>
      <c r="G296" s="1">
        <v>7000</v>
      </c>
      <c r="H296" s="1">
        <v>5</v>
      </c>
      <c r="I296" s="1" t="s">
        <v>15</v>
      </c>
      <c r="J296" s="1" t="s">
        <v>16</v>
      </c>
    </row>
    <row r="297" spans="1:10">
      <c r="A297" s="1" t="s">
        <v>615</v>
      </c>
      <c r="B297" s="1" t="s">
        <v>616</v>
      </c>
      <c r="C297" s="1" t="s">
        <v>59</v>
      </c>
      <c r="D297" s="1" t="s">
        <v>106</v>
      </c>
      <c r="E297" s="1" t="s">
        <v>22</v>
      </c>
      <c r="F297" s="2">
        <v>43887</v>
      </c>
      <c r="G297" s="1">
        <v>10400</v>
      </c>
      <c r="H297" s="1">
        <v>4</v>
      </c>
      <c r="I297" s="1" t="s">
        <v>15</v>
      </c>
      <c r="J297" s="1" t="s">
        <v>29</v>
      </c>
    </row>
    <row r="298" spans="1:10">
      <c r="A298" s="1" t="s">
        <v>617</v>
      </c>
      <c r="B298" s="1" t="s">
        <v>618</v>
      </c>
      <c r="C298" s="1" t="s">
        <v>59</v>
      </c>
      <c r="D298" s="1" t="s">
        <v>106</v>
      </c>
      <c r="E298" s="1" t="s">
        <v>22</v>
      </c>
      <c r="F298" s="2">
        <v>43869</v>
      </c>
      <c r="G298" s="1">
        <v>9300</v>
      </c>
      <c r="H298" s="1">
        <v>3</v>
      </c>
      <c r="I298" s="1" t="s">
        <v>15</v>
      </c>
      <c r="J298" s="1" t="s">
        <v>29</v>
      </c>
    </row>
    <row r="299" spans="1:10">
      <c r="A299" s="1" t="s">
        <v>619</v>
      </c>
      <c r="B299" s="1" t="s">
        <v>620</v>
      </c>
      <c r="C299" s="1" t="s">
        <v>59</v>
      </c>
      <c r="D299" s="1" t="s">
        <v>106</v>
      </c>
      <c r="E299" s="1" t="s">
        <v>14</v>
      </c>
      <c r="F299" s="2">
        <v>44755</v>
      </c>
      <c r="G299" s="1">
        <v>7800</v>
      </c>
      <c r="H299" s="1">
        <v>3</v>
      </c>
      <c r="I299" s="1" t="s">
        <v>15</v>
      </c>
      <c r="J299" s="1" t="s">
        <v>16</v>
      </c>
    </row>
    <row r="300" spans="1:10">
      <c r="A300" s="1" t="s">
        <v>621</v>
      </c>
      <c r="B300" s="1" t="s">
        <v>344</v>
      </c>
      <c r="C300" s="1" t="s">
        <v>121</v>
      </c>
      <c r="D300" s="1" t="s">
        <v>475</v>
      </c>
      <c r="E300" s="1" t="s">
        <v>14</v>
      </c>
      <c r="F300" s="2">
        <v>45021</v>
      </c>
      <c r="G300" s="1">
        <v>9700</v>
      </c>
      <c r="H300" s="1">
        <v>4</v>
      </c>
      <c r="I300" s="1" t="s">
        <v>15</v>
      </c>
      <c r="J300" s="1" t="s">
        <v>23</v>
      </c>
    </row>
    <row r="301" spans="1:10">
      <c r="A301" s="1" t="s">
        <v>622</v>
      </c>
      <c r="B301" s="1" t="s">
        <v>623</v>
      </c>
      <c r="C301" s="1" t="s">
        <v>20</v>
      </c>
      <c r="D301" s="1" t="s">
        <v>277</v>
      </c>
      <c r="E301" s="1" t="s">
        <v>22</v>
      </c>
      <c r="F301" s="2">
        <v>46113</v>
      </c>
      <c r="G301" s="1">
        <v>4600</v>
      </c>
      <c r="H301" s="1">
        <v>4</v>
      </c>
      <c r="I301" s="1" t="s">
        <v>15</v>
      </c>
      <c r="J301" s="1" t="s">
        <v>16</v>
      </c>
    </row>
    <row r="302" spans="1:10">
      <c r="A302" s="1" t="s">
        <v>624</v>
      </c>
      <c r="B302" s="1" t="s">
        <v>625</v>
      </c>
      <c r="C302" s="1" t="s">
        <v>12</v>
      </c>
      <c r="D302" s="1" t="s">
        <v>13</v>
      </c>
      <c r="E302" s="1" t="s">
        <v>22</v>
      </c>
      <c r="F302" s="2">
        <v>45180</v>
      </c>
      <c r="G302" s="1">
        <v>6100</v>
      </c>
      <c r="H302" s="1">
        <v>5</v>
      </c>
      <c r="I302" s="1" t="s">
        <v>15</v>
      </c>
      <c r="J302" s="1" t="s">
        <v>29</v>
      </c>
    </row>
    <row r="303" spans="1:10">
      <c r="A303" s="1" t="s">
        <v>626</v>
      </c>
      <c r="B303" s="1" t="s">
        <v>627</v>
      </c>
      <c r="C303" s="1" t="s">
        <v>12</v>
      </c>
      <c r="D303" s="1" t="s">
        <v>32</v>
      </c>
      <c r="E303" s="1" t="s">
        <v>14</v>
      </c>
      <c r="F303" s="2">
        <v>44180</v>
      </c>
      <c r="G303" s="1">
        <v>8000</v>
      </c>
      <c r="H303" s="1">
        <v>4</v>
      </c>
      <c r="I303" s="1" t="s">
        <v>15</v>
      </c>
      <c r="J303" s="1" t="s">
        <v>23</v>
      </c>
    </row>
    <row r="304" spans="1:10">
      <c r="A304" s="1" t="s">
        <v>628</v>
      </c>
      <c r="B304" s="1" t="s">
        <v>629</v>
      </c>
      <c r="C304" s="1" t="s">
        <v>20</v>
      </c>
      <c r="D304" s="1" t="s">
        <v>75</v>
      </c>
      <c r="E304" s="1" t="s">
        <v>14</v>
      </c>
      <c r="F304" s="2">
        <v>43308</v>
      </c>
      <c r="G304" s="1">
        <v>9300</v>
      </c>
      <c r="H304" s="1">
        <v>4</v>
      </c>
      <c r="I304" s="1" t="s">
        <v>15</v>
      </c>
      <c r="J304" s="1" t="s">
        <v>16</v>
      </c>
    </row>
    <row r="305" spans="1:10">
      <c r="A305" s="1" t="s">
        <v>630</v>
      </c>
      <c r="B305" s="1" t="s">
        <v>631</v>
      </c>
      <c r="C305" s="1" t="s">
        <v>47</v>
      </c>
      <c r="D305" s="1" t="s">
        <v>317</v>
      </c>
      <c r="E305" s="1" t="s">
        <v>14</v>
      </c>
      <c r="F305" s="2">
        <v>45827</v>
      </c>
      <c r="G305" s="1">
        <v>7900</v>
      </c>
      <c r="H305" s="1">
        <v>4</v>
      </c>
      <c r="I305" s="1" t="s">
        <v>135</v>
      </c>
      <c r="J305" s="1" t="s">
        <v>29</v>
      </c>
    </row>
    <row r="306" spans="1:10">
      <c r="A306" s="1" t="s">
        <v>632</v>
      </c>
      <c r="B306" s="1" t="s">
        <v>448</v>
      </c>
      <c r="C306" s="1" t="s">
        <v>12</v>
      </c>
      <c r="D306" s="1" t="s">
        <v>132</v>
      </c>
      <c r="E306" s="1" t="s">
        <v>14</v>
      </c>
      <c r="F306" s="2">
        <v>45280</v>
      </c>
      <c r="G306" s="1">
        <v>17000</v>
      </c>
      <c r="H306" s="1">
        <v>3</v>
      </c>
      <c r="I306" s="1" t="s">
        <v>15</v>
      </c>
      <c r="J306" s="1" t="s">
        <v>16</v>
      </c>
    </row>
    <row r="307" spans="1:10">
      <c r="A307" s="1" t="s">
        <v>633</v>
      </c>
      <c r="B307" s="1" t="s">
        <v>634</v>
      </c>
      <c r="C307" s="1" t="s">
        <v>68</v>
      </c>
      <c r="D307" s="1" t="s">
        <v>177</v>
      </c>
      <c r="E307" s="1" t="s">
        <v>14</v>
      </c>
      <c r="F307" s="2">
        <v>42701</v>
      </c>
      <c r="G307" s="1">
        <v>10300</v>
      </c>
      <c r="H307" s="1">
        <v>4</v>
      </c>
      <c r="I307" s="1" t="s">
        <v>15</v>
      </c>
      <c r="J307" s="1" t="s">
        <v>16</v>
      </c>
    </row>
    <row r="308" spans="1:10">
      <c r="A308" s="1" t="s">
        <v>635</v>
      </c>
      <c r="B308" s="1" t="s">
        <v>636</v>
      </c>
      <c r="C308" s="1" t="s">
        <v>59</v>
      </c>
      <c r="D308" s="1" t="s">
        <v>106</v>
      </c>
      <c r="E308" s="1" t="s">
        <v>14</v>
      </c>
      <c r="F308" s="2">
        <v>45187</v>
      </c>
      <c r="G308" s="1">
        <v>9500</v>
      </c>
      <c r="H308" s="1">
        <v>4</v>
      </c>
      <c r="I308" s="1" t="s">
        <v>15</v>
      </c>
      <c r="J308" s="1" t="s">
        <v>55</v>
      </c>
    </row>
    <row r="309" spans="1:10">
      <c r="A309" s="1" t="s">
        <v>637</v>
      </c>
      <c r="B309" s="1" t="s">
        <v>638</v>
      </c>
      <c r="C309" s="1" t="s">
        <v>36</v>
      </c>
      <c r="D309" s="1" t="s">
        <v>451</v>
      </c>
      <c r="E309" s="1" t="s">
        <v>22</v>
      </c>
      <c r="F309" s="2">
        <v>42791</v>
      </c>
      <c r="G309" s="1">
        <v>17600</v>
      </c>
      <c r="H309" s="1">
        <v>4</v>
      </c>
      <c r="I309" s="1" t="s">
        <v>15</v>
      </c>
      <c r="J309" s="1" t="s">
        <v>16</v>
      </c>
    </row>
    <row r="310" spans="1:10">
      <c r="A310" s="1" t="s">
        <v>639</v>
      </c>
      <c r="B310" s="1" t="s">
        <v>640</v>
      </c>
      <c r="C310" s="1" t="s">
        <v>59</v>
      </c>
      <c r="D310" s="1" t="s">
        <v>60</v>
      </c>
      <c r="E310" s="1" t="s">
        <v>22</v>
      </c>
      <c r="F310" s="2">
        <v>42268</v>
      </c>
      <c r="G310" s="1">
        <v>14400</v>
      </c>
      <c r="H310" s="1">
        <v>4</v>
      </c>
      <c r="I310" s="1" t="s">
        <v>15</v>
      </c>
      <c r="J310" s="1" t="s">
        <v>16</v>
      </c>
    </row>
    <row r="311" spans="1:10">
      <c r="A311" s="1" t="s">
        <v>641</v>
      </c>
      <c r="B311" s="1" t="s">
        <v>496</v>
      </c>
      <c r="C311" s="1" t="s">
        <v>59</v>
      </c>
      <c r="D311" s="1" t="s">
        <v>127</v>
      </c>
      <c r="E311" s="1" t="s">
        <v>22</v>
      </c>
      <c r="F311" s="2">
        <v>43935</v>
      </c>
      <c r="G311" s="1">
        <v>22000</v>
      </c>
      <c r="H311" s="1">
        <v>2</v>
      </c>
      <c r="I311" s="1" t="s">
        <v>61</v>
      </c>
      <c r="J311" s="1" t="s">
        <v>16</v>
      </c>
    </row>
    <row r="312" spans="1:10">
      <c r="A312" s="1" t="s">
        <v>642</v>
      </c>
      <c r="B312" s="1" t="s">
        <v>643</v>
      </c>
      <c r="C312" s="1" t="s">
        <v>59</v>
      </c>
      <c r="D312" s="1" t="s">
        <v>60</v>
      </c>
      <c r="E312" s="1" t="s">
        <v>14</v>
      </c>
      <c r="F312" s="2">
        <v>46234</v>
      </c>
      <c r="G312" s="1">
        <v>13000</v>
      </c>
      <c r="H312" s="1">
        <v>3</v>
      </c>
      <c r="I312" s="1" t="s">
        <v>15</v>
      </c>
      <c r="J312" s="1" t="s">
        <v>29</v>
      </c>
    </row>
    <row r="313" spans="1:10">
      <c r="A313" s="1" t="s">
        <v>644</v>
      </c>
      <c r="B313" s="1" t="s">
        <v>592</v>
      </c>
      <c r="C313" s="1" t="s">
        <v>36</v>
      </c>
      <c r="D313" s="1" t="s">
        <v>37</v>
      </c>
      <c r="E313" s="1" t="s">
        <v>14</v>
      </c>
      <c r="F313" s="2">
        <v>46187</v>
      </c>
      <c r="G313" s="1">
        <v>11900</v>
      </c>
      <c r="H313" s="1">
        <v>3</v>
      </c>
      <c r="I313" s="1" t="s">
        <v>15</v>
      </c>
      <c r="J313" s="1" t="s">
        <v>44</v>
      </c>
    </row>
    <row r="314" spans="1:10">
      <c r="A314" s="1" t="s">
        <v>645</v>
      </c>
      <c r="B314" s="1" t="s">
        <v>81</v>
      </c>
      <c r="C314" s="1" t="s">
        <v>47</v>
      </c>
      <c r="D314" s="1" t="s">
        <v>317</v>
      </c>
      <c r="E314" s="1" t="s">
        <v>14</v>
      </c>
      <c r="F314" s="2">
        <v>44553</v>
      </c>
      <c r="G314" s="1">
        <v>8100</v>
      </c>
      <c r="H314" s="1">
        <v>4</v>
      </c>
      <c r="I314" s="1" t="s">
        <v>15</v>
      </c>
      <c r="J314" s="1" t="s">
        <v>16</v>
      </c>
    </row>
    <row r="315" spans="1:10">
      <c r="A315" s="1" t="s">
        <v>646</v>
      </c>
      <c r="B315" s="1" t="s">
        <v>647</v>
      </c>
      <c r="C315" s="1" t="s">
        <v>20</v>
      </c>
      <c r="D315" s="1" t="s">
        <v>21</v>
      </c>
      <c r="E315" s="1" t="s">
        <v>22</v>
      </c>
      <c r="F315" s="2">
        <v>43224</v>
      </c>
      <c r="G315" s="1">
        <v>6100</v>
      </c>
      <c r="H315" s="1">
        <v>4</v>
      </c>
      <c r="I315" s="1" t="s">
        <v>15</v>
      </c>
      <c r="J315" s="1" t="s">
        <v>16</v>
      </c>
    </row>
    <row r="316" spans="1:10">
      <c r="A316" s="1" t="s">
        <v>648</v>
      </c>
      <c r="B316" s="1" t="s">
        <v>649</v>
      </c>
      <c r="C316" s="1" t="s">
        <v>27</v>
      </c>
      <c r="D316" s="1" t="s">
        <v>28</v>
      </c>
      <c r="E316" s="1" t="s">
        <v>14</v>
      </c>
      <c r="F316" s="2">
        <v>43547</v>
      </c>
      <c r="G316" s="1">
        <v>9700</v>
      </c>
      <c r="H316" s="1">
        <v>4</v>
      </c>
      <c r="I316" s="1" t="s">
        <v>15</v>
      </c>
      <c r="J316" s="1" t="s">
        <v>16</v>
      </c>
    </row>
    <row r="317" spans="1:10">
      <c r="A317" s="1" t="s">
        <v>650</v>
      </c>
      <c r="B317" s="1" t="s">
        <v>523</v>
      </c>
      <c r="C317" s="1" t="s">
        <v>59</v>
      </c>
      <c r="D317" s="1" t="s">
        <v>118</v>
      </c>
      <c r="E317" s="1" t="s">
        <v>14</v>
      </c>
      <c r="F317" s="2">
        <v>43555</v>
      </c>
      <c r="G317" s="1">
        <v>6400</v>
      </c>
      <c r="H317" s="1">
        <v>4</v>
      </c>
      <c r="I317" s="1" t="s">
        <v>15</v>
      </c>
      <c r="J317" s="1" t="s">
        <v>44</v>
      </c>
    </row>
    <row r="318" spans="1:10">
      <c r="A318" s="1" t="s">
        <v>651</v>
      </c>
      <c r="B318" s="1" t="s">
        <v>652</v>
      </c>
      <c r="C318" s="1" t="s">
        <v>59</v>
      </c>
      <c r="D318" s="1" t="s">
        <v>60</v>
      </c>
      <c r="E318" s="1" t="s">
        <v>14</v>
      </c>
      <c r="F318" s="2">
        <v>44503</v>
      </c>
      <c r="G318" s="1">
        <v>12300</v>
      </c>
      <c r="H318" s="1">
        <v>3</v>
      </c>
      <c r="I318" s="1" t="s">
        <v>135</v>
      </c>
      <c r="J318" s="1" t="s">
        <v>16</v>
      </c>
    </row>
    <row r="319" spans="1:10">
      <c r="A319" s="1" t="s">
        <v>653</v>
      </c>
      <c r="B319" s="1" t="s">
        <v>654</v>
      </c>
      <c r="C319" s="1" t="s">
        <v>36</v>
      </c>
      <c r="D319" s="1" t="s">
        <v>37</v>
      </c>
      <c r="E319" s="1" t="s">
        <v>14</v>
      </c>
      <c r="F319" s="2">
        <v>44788</v>
      </c>
      <c r="G319" s="1">
        <v>9900</v>
      </c>
      <c r="H319" s="1">
        <v>5</v>
      </c>
      <c r="I319" s="1" t="s">
        <v>15</v>
      </c>
      <c r="J319" s="1" t="s">
        <v>55</v>
      </c>
    </row>
    <row r="320" spans="1:10">
      <c r="A320" s="1" t="s">
        <v>655</v>
      </c>
      <c r="B320" s="1" t="s">
        <v>656</v>
      </c>
      <c r="C320" s="1" t="s">
        <v>27</v>
      </c>
      <c r="D320" s="1" t="s">
        <v>28</v>
      </c>
      <c r="E320" s="1" t="s">
        <v>14</v>
      </c>
      <c r="F320" s="2">
        <v>44844</v>
      </c>
      <c r="G320" s="1">
        <v>10500</v>
      </c>
      <c r="H320" s="1">
        <v>4</v>
      </c>
      <c r="I320" s="1" t="s">
        <v>15</v>
      </c>
      <c r="J320" s="1" t="s">
        <v>29</v>
      </c>
    </row>
    <row r="321" spans="1:10">
      <c r="A321" s="1" t="s">
        <v>657</v>
      </c>
      <c r="B321" s="1" t="s">
        <v>658</v>
      </c>
      <c r="C321" s="1" t="s">
        <v>36</v>
      </c>
      <c r="D321" s="1" t="s">
        <v>101</v>
      </c>
      <c r="E321" s="1" t="s">
        <v>14</v>
      </c>
      <c r="F321" s="2">
        <v>45292</v>
      </c>
      <c r="G321" s="1">
        <v>7800</v>
      </c>
      <c r="H321" s="1">
        <v>3</v>
      </c>
      <c r="I321" s="1" t="s">
        <v>15</v>
      </c>
      <c r="J321" s="1" t="s">
        <v>16</v>
      </c>
    </row>
    <row r="322" spans="1:10">
      <c r="A322" s="1" t="s">
        <v>659</v>
      </c>
      <c r="B322" s="1" t="s">
        <v>63</v>
      </c>
      <c r="C322" s="1" t="s">
        <v>27</v>
      </c>
      <c r="D322" s="1" t="s">
        <v>40</v>
      </c>
      <c r="E322" s="1" t="s">
        <v>14</v>
      </c>
      <c r="F322" s="2">
        <v>42759</v>
      </c>
      <c r="G322" s="1">
        <v>9800</v>
      </c>
      <c r="H322" s="1">
        <v>5</v>
      </c>
      <c r="I322" s="1" t="s">
        <v>15</v>
      </c>
      <c r="J322" s="1" t="s">
        <v>44</v>
      </c>
    </row>
    <row r="323" spans="1:10">
      <c r="A323" s="1" t="s">
        <v>660</v>
      </c>
      <c r="B323" s="1" t="s">
        <v>661</v>
      </c>
      <c r="C323" s="1" t="s">
        <v>27</v>
      </c>
      <c r="D323" s="1" t="s">
        <v>109</v>
      </c>
      <c r="E323" s="1" t="s">
        <v>22</v>
      </c>
      <c r="F323" s="2">
        <v>43586</v>
      </c>
      <c r="G323" s="1">
        <v>6700</v>
      </c>
      <c r="H323" s="1">
        <v>3</v>
      </c>
      <c r="I323" s="1" t="s">
        <v>15</v>
      </c>
      <c r="J323" s="1" t="s">
        <v>16</v>
      </c>
    </row>
    <row r="324" spans="1:10">
      <c r="A324" s="1" t="s">
        <v>662</v>
      </c>
      <c r="B324" s="1" t="s">
        <v>663</v>
      </c>
      <c r="C324" s="1" t="s">
        <v>27</v>
      </c>
      <c r="D324" s="1" t="s">
        <v>40</v>
      </c>
      <c r="E324" s="1" t="s">
        <v>14</v>
      </c>
      <c r="F324" s="2">
        <v>44154</v>
      </c>
      <c r="G324" s="1">
        <v>9700</v>
      </c>
      <c r="H324" s="1">
        <v>2</v>
      </c>
      <c r="I324" s="1" t="s">
        <v>15</v>
      </c>
      <c r="J324" s="1" t="s">
        <v>29</v>
      </c>
    </row>
    <row r="325" spans="1:10">
      <c r="A325" s="1" t="s">
        <v>664</v>
      </c>
      <c r="B325" s="1" t="s">
        <v>46</v>
      </c>
      <c r="C325" s="1" t="s">
        <v>27</v>
      </c>
      <c r="D325" s="1" t="s">
        <v>28</v>
      </c>
      <c r="E325" s="1" t="s">
        <v>14</v>
      </c>
      <c r="F325" s="2">
        <v>43266</v>
      </c>
      <c r="G325" s="1">
        <v>12600</v>
      </c>
      <c r="H325" s="1">
        <v>3</v>
      </c>
      <c r="I325" s="1" t="s">
        <v>15</v>
      </c>
      <c r="J325" s="1" t="s">
        <v>16</v>
      </c>
    </row>
    <row r="326" spans="1:10">
      <c r="A326" s="1" t="s">
        <v>665</v>
      </c>
      <c r="B326" s="1" t="s">
        <v>310</v>
      </c>
      <c r="C326" s="1" t="s">
        <v>20</v>
      </c>
      <c r="D326" s="1" t="s">
        <v>218</v>
      </c>
      <c r="E326" s="1" t="s">
        <v>22</v>
      </c>
      <c r="F326" s="2">
        <v>43290</v>
      </c>
      <c r="G326" s="1">
        <v>10600</v>
      </c>
      <c r="H326" s="1">
        <v>5</v>
      </c>
      <c r="I326" s="1" t="s">
        <v>15</v>
      </c>
      <c r="J326" s="1" t="s">
        <v>44</v>
      </c>
    </row>
    <row r="327" spans="1:10">
      <c r="A327" s="1" t="s">
        <v>666</v>
      </c>
      <c r="B327" s="1" t="s">
        <v>667</v>
      </c>
      <c r="C327" s="1" t="s">
        <v>68</v>
      </c>
      <c r="D327" s="1" t="s">
        <v>177</v>
      </c>
      <c r="E327" s="1" t="s">
        <v>22</v>
      </c>
      <c r="F327" s="2">
        <v>44493</v>
      </c>
      <c r="G327" s="1">
        <v>11800</v>
      </c>
      <c r="H327" s="1">
        <v>5</v>
      </c>
      <c r="I327" s="1" t="s">
        <v>15</v>
      </c>
      <c r="J327" s="1" t="s">
        <v>55</v>
      </c>
    </row>
    <row r="328" spans="1:10">
      <c r="A328" s="1" t="s">
        <v>668</v>
      </c>
      <c r="B328" s="1" t="s">
        <v>669</v>
      </c>
      <c r="C328" s="1" t="s">
        <v>12</v>
      </c>
      <c r="D328" s="1" t="s">
        <v>64</v>
      </c>
      <c r="E328" s="1" t="s">
        <v>22</v>
      </c>
      <c r="F328" s="2">
        <v>44800</v>
      </c>
      <c r="G328" s="1">
        <v>10800</v>
      </c>
      <c r="H328" s="1">
        <v>4</v>
      </c>
      <c r="I328" s="1" t="s">
        <v>15</v>
      </c>
      <c r="J328" s="1" t="s">
        <v>23</v>
      </c>
    </row>
    <row r="329" spans="1:10">
      <c r="A329" s="1" t="s">
        <v>670</v>
      </c>
      <c r="B329" s="1" t="s">
        <v>671</v>
      </c>
      <c r="C329" s="1" t="s">
        <v>68</v>
      </c>
      <c r="D329" s="1" t="s">
        <v>177</v>
      </c>
      <c r="E329" s="1" t="s">
        <v>22</v>
      </c>
      <c r="F329" s="2">
        <v>45679</v>
      </c>
      <c r="G329" s="1">
        <v>12900</v>
      </c>
      <c r="H329" s="1">
        <v>3</v>
      </c>
      <c r="I329" s="1" t="s">
        <v>15</v>
      </c>
      <c r="J329" s="1" t="s">
        <v>29</v>
      </c>
    </row>
    <row r="330" spans="1:10">
      <c r="A330" s="1" t="s">
        <v>672</v>
      </c>
      <c r="B330" s="1" t="s">
        <v>673</v>
      </c>
      <c r="C330" s="1" t="s">
        <v>12</v>
      </c>
      <c r="D330" s="1" t="s">
        <v>32</v>
      </c>
      <c r="E330" s="1" t="s">
        <v>14</v>
      </c>
      <c r="F330" s="2">
        <v>45514</v>
      </c>
      <c r="G330" s="1">
        <v>8600</v>
      </c>
      <c r="H330" s="1">
        <v>4</v>
      </c>
      <c r="I330" s="1" t="s">
        <v>15</v>
      </c>
      <c r="J330" s="1" t="s">
        <v>16</v>
      </c>
    </row>
    <row r="331" spans="1:10">
      <c r="A331" s="1" t="s">
        <v>674</v>
      </c>
      <c r="B331" s="1" t="s">
        <v>675</v>
      </c>
      <c r="C331" s="1" t="s">
        <v>121</v>
      </c>
      <c r="D331" s="1" t="s">
        <v>122</v>
      </c>
      <c r="E331" s="1" t="s">
        <v>14</v>
      </c>
      <c r="F331" s="2">
        <v>46020</v>
      </c>
      <c r="G331" s="1">
        <v>12100</v>
      </c>
      <c r="H331" s="1">
        <v>3</v>
      </c>
      <c r="I331" s="1" t="s">
        <v>15</v>
      </c>
      <c r="J331" s="1" t="s">
        <v>29</v>
      </c>
    </row>
    <row r="332" spans="1:10">
      <c r="A332" s="1" t="s">
        <v>676</v>
      </c>
      <c r="B332" s="1" t="s">
        <v>677</v>
      </c>
      <c r="C332" s="1" t="s">
        <v>59</v>
      </c>
      <c r="D332" s="1" t="s">
        <v>106</v>
      </c>
      <c r="E332" s="1" t="s">
        <v>22</v>
      </c>
      <c r="F332" s="2">
        <v>43470</v>
      </c>
      <c r="G332" s="1">
        <v>9200</v>
      </c>
      <c r="H332" s="1">
        <v>2</v>
      </c>
      <c r="I332" s="1" t="s">
        <v>135</v>
      </c>
      <c r="J332" s="1" t="s">
        <v>16</v>
      </c>
    </row>
    <row r="333" spans="1:10">
      <c r="A333" s="1" t="s">
        <v>678</v>
      </c>
      <c r="B333" s="1" t="s">
        <v>546</v>
      </c>
      <c r="C333" s="1" t="s">
        <v>36</v>
      </c>
      <c r="D333" s="1" t="s">
        <v>101</v>
      </c>
      <c r="E333" s="1" t="s">
        <v>22</v>
      </c>
      <c r="F333" s="2">
        <v>45650</v>
      </c>
      <c r="G333" s="1">
        <v>10400</v>
      </c>
      <c r="H333" s="1">
        <v>3</v>
      </c>
      <c r="I333" s="1" t="s">
        <v>15</v>
      </c>
      <c r="J333" s="1" t="s">
        <v>44</v>
      </c>
    </row>
    <row r="334" spans="1:10">
      <c r="A334" s="1" t="s">
        <v>679</v>
      </c>
      <c r="B334" s="1" t="s">
        <v>680</v>
      </c>
      <c r="C334" s="1" t="s">
        <v>12</v>
      </c>
      <c r="D334" s="1" t="s">
        <v>13</v>
      </c>
      <c r="E334" s="1" t="s">
        <v>22</v>
      </c>
      <c r="F334" s="2">
        <v>41704</v>
      </c>
      <c r="G334" s="1">
        <v>7800</v>
      </c>
      <c r="H334" s="1">
        <v>2</v>
      </c>
      <c r="I334" s="1" t="s">
        <v>15</v>
      </c>
      <c r="J334" s="1" t="s">
        <v>16</v>
      </c>
    </row>
    <row r="335" spans="1:10">
      <c r="A335" s="1" t="s">
        <v>681</v>
      </c>
      <c r="B335" s="1" t="s">
        <v>425</v>
      </c>
      <c r="C335" s="1" t="s">
        <v>27</v>
      </c>
      <c r="D335" s="1" t="s">
        <v>40</v>
      </c>
      <c r="E335" s="1" t="s">
        <v>14</v>
      </c>
      <c r="F335" s="2">
        <v>43629</v>
      </c>
      <c r="G335" s="1">
        <v>10700</v>
      </c>
      <c r="H335" s="1">
        <v>4</v>
      </c>
      <c r="I335" s="1" t="s">
        <v>15</v>
      </c>
      <c r="J335" s="1" t="s">
        <v>16</v>
      </c>
    </row>
    <row r="336" spans="1:10">
      <c r="A336" s="1" t="s">
        <v>682</v>
      </c>
      <c r="B336" s="1" t="s">
        <v>638</v>
      </c>
      <c r="C336" s="1" t="s">
        <v>47</v>
      </c>
      <c r="D336" s="1" t="s">
        <v>317</v>
      </c>
      <c r="E336" s="1" t="s">
        <v>22</v>
      </c>
      <c r="F336" s="2">
        <v>46214</v>
      </c>
      <c r="G336" s="1">
        <v>9400</v>
      </c>
      <c r="H336" s="1">
        <v>1</v>
      </c>
      <c r="I336" s="1" t="s">
        <v>135</v>
      </c>
      <c r="J336" s="1" t="s">
        <v>23</v>
      </c>
    </row>
    <row r="337" spans="1:10">
      <c r="A337" s="1" t="s">
        <v>683</v>
      </c>
      <c r="B337" s="1" t="s">
        <v>684</v>
      </c>
      <c r="C337" s="1" t="s">
        <v>20</v>
      </c>
      <c r="D337" s="1" t="s">
        <v>277</v>
      </c>
      <c r="E337" s="1" t="s">
        <v>22</v>
      </c>
      <c r="F337" s="2">
        <v>43428</v>
      </c>
      <c r="G337" s="1">
        <v>6100</v>
      </c>
      <c r="H337" s="1">
        <v>3</v>
      </c>
      <c r="I337" s="1" t="s">
        <v>15</v>
      </c>
      <c r="J337" s="1" t="s">
        <v>55</v>
      </c>
    </row>
    <row r="338" spans="1:10">
      <c r="A338" s="1" t="s">
        <v>685</v>
      </c>
      <c r="B338" s="1" t="s">
        <v>211</v>
      </c>
      <c r="C338" s="1" t="s">
        <v>27</v>
      </c>
      <c r="D338" s="1" t="s">
        <v>40</v>
      </c>
      <c r="E338" s="1" t="s">
        <v>14</v>
      </c>
      <c r="F338" s="2">
        <v>42650</v>
      </c>
      <c r="G338" s="1">
        <v>7900</v>
      </c>
      <c r="H338" s="1">
        <v>3</v>
      </c>
      <c r="I338" s="1" t="s">
        <v>15</v>
      </c>
      <c r="J338" s="1" t="s">
        <v>16</v>
      </c>
    </row>
    <row r="339" spans="1:10">
      <c r="A339" s="1" t="s">
        <v>686</v>
      </c>
      <c r="B339" s="1" t="s">
        <v>287</v>
      </c>
      <c r="C339" s="1" t="s">
        <v>59</v>
      </c>
      <c r="D339" s="1" t="s">
        <v>118</v>
      </c>
      <c r="E339" s="1" t="s">
        <v>14</v>
      </c>
      <c r="F339" s="2">
        <v>43424</v>
      </c>
      <c r="G339" s="1">
        <v>8900</v>
      </c>
      <c r="H339" s="1">
        <v>3</v>
      </c>
      <c r="I339" s="1" t="s">
        <v>15</v>
      </c>
      <c r="J339" s="1" t="s">
        <v>16</v>
      </c>
    </row>
    <row r="340" spans="1:10">
      <c r="A340" s="1" t="s">
        <v>687</v>
      </c>
      <c r="B340" s="1" t="s">
        <v>688</v>
      </c>
      <c r="C340" s="1" t="s">
        <v>20</v>
      </c>
      <c r="D340" s="1" t="s">
        <v>277</v>
      </c>
      <c r="E340" s="1" t="s">
        <v>22</v>
      </c>
      <c r="F340" s="2">
        <v>42932</v>
      </c>
      <c r="G340" s="1">
        <v>5300</v>
      </c>
      <c r="H340" s="1">
        <v>3</v>
      </c>
      <c r="I340" s="1" t="s">
        <v>15</v>
      </c>
      <c r="J340" s="1" t="s">
        <v>29</v>
      </c>
    </row>
    <row r="341" spans="1:10">
      <c r="A341" s="1" t="s">
        <v>689</v>
      </c>
      <c r="B341" s="1" t="s">
        <v>690</v>
      </c>
      <c r="C341" s="1" t="s">
        <v>59</v>
      </c>
      <c r="D341" s="1" t="s">
        <v>60</v>
      </c>
      <c r="E341" s="1" t="s">
        <v>14</v>
      </c>
      <c r="F341" s="2">
        <v>44863</v>
      </c>
      <c r="G341" s="1">
        <v>14200</v>
      </c>
      <c r="H341" s="1">
        <v>4</v>
      </c>
      <c r="I341" s="1" t="s">
        <v>15</v>
      </c>
      <c r="J341" s="1" t="s">
        <v>29</v>
      </c>
    </row>
    <row r="342" spans="1:10">
      <c r="A342" s="1" t="s">
        <v>691</v>
      </c>
      <c r="B342" s="1" t="s">
        <v>692</v>
      </c>
      <c r="C342" s="1" t="s">
        <v>121</v>
      </c>
      <c r="D342" s="1" t="s">
        <v>163</v>
      </c>
      <c r="E342" s="1" t="s">
        <v>14</v>
      </c>
      <c r="F342" s="2">
        <v>42453</v>
      </c>
      <c r="G342" s="1">
        <v>7700</v>
      </c>
      <c r="H342" s="1">
        <v>5</v>
      </c>
      <c r="I342" s="1" t="s">
        <v>15</v>
      </c>
      <c r="J342" s="1" t="s">
        <v>55</v>
      </c>
    </row>
    <row r="343" spans="1:10">
      <c r="A343" s="1" t="s">
        <v>693</v>
      </c>
      <c r="B343" s="1" t="s">
        <v>694</v>
      </c>
      <c r="C343" s="1" t="s">
        <v>59</v>
      </c>
      <c r="D343" s="1" t="s">
        <v>86</v>
      </c>
      <c r="E343" s="1" t="s">
        <v>14</v>
      </c>
      <c r="F343" s="2">
        <v>45983</v>
      </c>
      <c r="G343" s="1">
        <v>10400</v>
      </c>
      <c r="H343" s="1">
        <v>4</v>
      </c>
      <c r="I343" s="1" t="s">
        <v>15</v>
      </c>
      <c r="J343" s="1" t="s">
        <v>16</v>
      </c>
    </row>
    <row r="344" spans="1:10">
      <c r="A344" s="1" t="s">
        <v>695</v>
      </c>
      <c r="B344" s="1" t="s">
        <v>696</v>
      </c>
      <c r="C344" s="1" t="s">
        <v>121</v>
      </c>
      <c r="D344" s="1" t="s">
        <v>122</v>
      </c>
      <c r="E344" s="1" t="s">
        <v>14</v>
      </c>
      <c r="F344" s="2">
        <v>43057</v>
      </c>
      <c r="G344" s="1">
        <v>10900</v>
      </c>
      <c r="H344" s="1">
        <v>3</v>
      </c>
      <c r="I344" s="1" t="s">
        <v>15</v>
      </c>
      <c r="J344" s="1" t="s">
        <v>29</v>
      </c>
    </row>
    <row r="345" spans="1:10">
      <c r="A345" s="1" t="s">
        <v>697</v>
      </c>
      <c r="B345" s="1" t="s">
        <v>698</v>
      </c>
      <c r="C345" s="1" t="s">
        <v>59</v>
      </c>
      <c r="D345" s="1" t="s">
        <v>106</v>
      </c>
      <c r="E345" s="1" t="s">
        <v>22</v>
      </c>
      <c r="F345" s="2">
        <v>43640</v>
      </c>
      <c r="G345" s="1">
        <v>11300</v>
      </c>
      <c r="H345" s="1">
        <v>3</v>
      </c>
      <c r="I345" s="1" t="s">
        <v>15</v>
      </c>
      <c r="J345" s="1" t="s">
        <v>29</v>
      </c>
    </row>
    <row r="346" spans="1:10">
      <c r="A346" s="1" t="s">
        <v>699</v>
      </c>
      <c r="B346" s="1" t="s">
        <v>700</v>
      </c>
      <c r="C346" s="1" t="s">
        <v>27</v>
      </c>
      <c r="D346" s="1" t="s">
        <v>43</v>
      </c>
      <c r="E346" s="1" t="s">
        <v>14</v>
      </c>
      <c r="F346" s="2">
        <v>41953</v>
      </c>
      <c r="G346" s="1">
        <v>17200</v>
      </c>
      <c r="H346" s="1">
        <v>3</v>
      </c>
      <c r="I346" s="1" t="s">
        <v>135</v>
      </c>
      <c r="J346" s="1" t="s">
        <v>16</v>
      </c>
    </row>
    <row r="347" spans="1:10">
      <c r="A347" s="1" t="s">
        <v>701</v>
      </c>
      <c r="B347" s="1" t="s">
        <v>702</v>
      </c>
      <c r="C347" s="1" t="s">
        <v>121</v>
      </c>
      <c r="D347" s="1" t="s">
        <v>122</v>
      </c>
      <c r="E347" s="1" t="s">
        <v>14</v>
      </c>
      <c r="F347" s="2">
        <v>43623</v>
      </c>
      <c r="G347" s="1">
        <v>12600</v>
      </c>
      <c r="H347" s="1">
        <v>2</v>
      </c>
      <c r="I347" s="1" t="s">
        <v>15</v>
      </c>
      <c r="J347" s="1" t="s">
        <v>29</v>
      </c>
    </row>
    <row r="348" spans="1:10">
      <c r="A348" s="1" t="s">
        <v>703</v>
      </c>
      <c r="B348" s="1" t="s">
        <v>704</v>
      </c>
      <c r="C348" s="1" t="s">
        <v>121</v>
      </c>
      <c r="D348" s="1" t="s">
        <v>475</v>
      </c>
      <c r="E348" s="1" t="s">
        <v>14</v>
      </c>
      <c r="F348" s="2">
        <v>44294</v>
      </c>
      <c r="G348" s="1">
        <v>12700</v>
      </c>
      <c r="H348" s="1">
        <v>2</v>
      </c>
      <c r="I348" s="1" t="s">
        <v>15</v>
      </c>
      <c r="J348" s="1" t="s">
        <v>55</v>
      </c>
    </row>
    <row r="349" spans="1:10">
      <c r="A349" s="1" t="s">
        <v>705</v>
      </c>
      <c r="B349" s="1" t="s">
        <v>254</v>
      </c>
      <c r="C349" s="1" t="s">
        <v>12</v>
      </c>
      <c r="D349" s="1" t="s">
        <v>32</v>
      </c>
      <c r="E349" s="1" t="s">
        <v>14</v>
      </c>
      <c r="F349" s="2">
        <v>43912</v>
      </c>
      <c r="G349" s="1">
        <v>8600</v>
      </c>
      <c r="H349" s="1">
        <v>3</v>
      </c>
      <c r="I349" s="1" t="s">
        <v>15</v>
      </c>
      <c r="J349" s="1" t="s">
        <v>29</v>
      </c>
    </row>
    <row r="350" spans="1:10">
      <c r="A350" s="1" t="s">
        <v>706</v>
      </c>
      <c r="B350" s="1" t="s">
        <v>372</v>
      </c>
      <c r="C350" s="1" t="s">
        <v>36</v>
      </c>
      <c r="D350" s="1" t="s">
        <v>101</v>
      </c>
      <c r="E350" s="1" t="s">
        <v>14</v>
      </c>
      <c r="F350" s="2">
        <v>45304</v>
      </c>
      <c r="G350" s="1">
        <v>10800</v>
      </c>
      <c r="H350" s="1">
        <v>4</v>
      </c>
      <c r="I350" s="1" t="s">
        <v>15</v>
      </c>
      <c r="J350" s="1" t="s">
        <v>29</v>
      </c>
    </row>
    <row r="351" spans="1:10">
      <c r="A351" s="1" t="s">
        <v>707</v>
      </c>
      <c r="B351" s="1" t="s">
        <v>708</v>
      </c>
      <c r="C351" s="1" t="s">
        <v>20</v>
      </c>
      <c r="D351" s="1" t="s">
        <v>21</v>
      </c>
      <c r="E351" s="1" t="s">
        <v>14</v>
      </c>
      <c r="F351" s="2">
        <v>42167</v>
      </c>
      <c r="G351" s="1">
        <v>8000</v>
      </c>
      <c r="H351" s="1">
        <v>4</v>
      </c>
      <c r="I351" s="1" t="s">
        <v>61</v>
      </c>
      <c r="J351" s="1" t="s">
        <v>23</v>
      </c>
    </row>
    <row r="352" spans="1:10">
      <c r="A352" s="1" t="s">
        <v>709</v>
      </c>
      <c r="B352" s="1" t="s">
        <v>710</v>
      </c>
      <c r="C352" s="1" t="s">
        <v>27</v>
      </c>
      <c r="D352" s="1" t="s">
        <v>40</v>
      </c>
      <c r="E352" s="1" t="s">
        <v>22</v>
      </c>
      <c r="F352" s="2">
        <v>42996</v>
      </c>
      <c r="G352" s="1">
        <v>9400</v>
      </c>
      <c r="H352" s="1">
        <v>4</v>
      </c>
      <c r="I352" s="1" t="s">
        <v>15</v>
      </c>
      <c r="J352" s="1" t="s">
        <v>23</v>
      </c>
    </row>
    <row r="353" spans="1:10">
      <c r="A353" s="1" t="s">
        <v>711</v>
      </c>
      <c r="B353" s="1" t="s">
        <v>712</v>
      </c>
      <c r="C353" s="1" t="s">
        <v>68</v>
      </c>
      <c r="D353" s="1" t="s">
        <v>177</v>
      </c>
      <c r="E353" s="1" t="s">
        <v>22</v>
      </c>
      <c r="F353" s="2">
        <v>42288</v>
      </c>
      <c r="G353" s="1">
        <v>12000</v>
      </c>
      <c r="H353" s="1">
        <v>5</v>
      </c>
      <c r="I353" s="1" t="s">
        <v>15</v>
      </c>
      <c r="J353" s="1" t="s">
        <v>16</v>
      </c>
    </row>
    <row r="354" spans="1:10">
      <c r="A354" s="1" t="s">
        <v>713</v>
      </c>
      <c r="B354" s="1" t="s">
        <v>165</v>
      </c>
      <c r="C354" s="1" t="s">
        <v>20</v>
      </c>
      <c r="D354" s="1" t="s">
        <v>150</v>
      </c>
      <c r="E354" s="1" t="s">
        <v>14</v>
      </c>
      <c r="F354" s="2">
        <v>42346</v>
      </c>
      <c r="G354" s="1">
        <v>19300</v>
      </c>
      <c r="H354" s="1">
        <v>3</v>
      </c>
      <c r="I354" s="1" t="s">
        <v>15</v>
      </c>
      <c r="J354" s="1" t="s">
        <v>16</v>
      </c>
    </row>
    <row r="355" spans="1:10">
      <c r="A355" s="1" t="s">
        <v>714</v>
      </c>
      <c r="B355" s="1" t="s">
        <v>715</v>
      </c>
      <c r="C355" s="1" t="s">
        <v>59</v>
      </c>
      <c r="D355" s="1" t="s">
        <v>106</v>
      </c>
      <c r="E355" s="1" t="s">
        <v>14</v>
      </c>
      <c r="F355" s="2">
        <v>42008</v>
      </c>
      <c r="G355" s="1">
        <v>10000</v>
      </c>
      <c r="H355" s="1">
        <v>3</v>
      </c>
      <c r="I355" s="1" t="s">
        <v>135</v>
      </c>
      <c r="J355" s="1" t="s">
        <v>16</v>
      </c>
    </row>
    <row r="356" spans="1:10">
      <c r="A356" s="1" t="s">
        <v>716</v>
      </c>
      <c r="B356" s="1" t="s">
        <v>717</v>
      </c>
      <c r="C356" s="1" t="s">
        <v>121</v>
      </c>
      <c r="D356" s="1" t="s">
        <v>122</v>
      </c>
      <c r="E356" s="1" t="s">
        <v>22</v>
      </c>
      <c r="F356" s="2">
        <v>43739</v>
      </c>
      <c r="G356" s="1">
        <v>11400</v>
      </c>
      <c r="H356" s="1">
        <v>5</v>
      </c>
      <c r="I356" s="1" t="s">
        <v>61</v>
      </c>
      <c r="J356" s="1" t="s">
        <v>55</v>
      </c>
    </row>
    <row r="357" spans="1:10">
      <c r="A357" s="1" t="s">
        <v>718</v>
      </c>
      <c r="B357" s="1" t="s">
        <v>308</v>
      </c>
      <c r="C357" s="1" t="s">
        <v>68</v>
      </c>
      <c r="D357" s="1" t="s">
        <v>91</v>
      </c>
      <c r="E357" s="1" t="s">
        <v>14</v>
      </c>
      <c r="F357" s="2">
        <v>44760</v>
      </c>
      <c r="G357" s="1">
        <v>8600</v>
      </c>
      <c r="H357" s="1">
        <v>5</v>
      </c>
      <c r="I357" s="1" t="s">
        <v>15</v>
      </c>
      <c r="J357" s="1" t="s">
        <v>16</v>
      </c>
    </row>
    <row r="358" spans="1:10">
      <c r="A358" s="1" t="s">
        <v>719</v>
      </c>
      <c r="B358" s="1" t="s">
        <v>720</v>
      </c>
      <c r="C358" s="1" t="s">
        <v>36</v>
      </c>
      <c r="D358" s="1" t="s">
        <v>101</v>
      </c>
      <c r="E358" s="1" t="s">
        <v>14</v>
      </c>
      <c r="F358" s="2">
        <v>42597</v>
      </c>
      <c r="G358" s="1">
        <v>7600</v>
      </c>
      <c r="H358" s="1">
        <v>4</v>
      </c>
      <c r="I358" s="1" t="s">
        <v>15</v>
      </c>
      <c r="J358" s="1" t="s">
        <v>16</v>
      </c>
    </row>
    <row r="359" spans="1:10">
      <c r="A359" s="1" t="s">
        <v>721</v>
      </c>
      <c r="B359" s="1" t="s">
        <v>722</v>
      </c>
      <c r="C359" s="1" t="s">
        <v>12</v>
      </c>
      <c r="D359" s="1" t="s">
        <v>64</v>
      </c>
      <c r="E359" s="1" t="s">
        <v>22</v>
      </c>
      <c r="F359" s="2">
        <v>45538</v>
      </c>
      <c r="G359" s="1">
        <v>11300</v>
      </c>
      <c r="H359" s="1">
        <v>5</v>
      </c>
      <c r="I359" s="1" t="s">
        <v>61</v>
      </c>
      <c r="J359" s="1" t="s">
        <v>29</v>
      </c>
    </row>
    <row r="360" spans="1:10">
      <c r="A360" s="1" t="s">
        <v>723</v>
      </c>
      <c r="B360" s="1" t="s">
        <v>724</v>
      </c>
      <c r="C360" s="1" t="s">
        <v>12</v>
      </c>
      <c r="D360" s="1" t="s">
        <v>132</v>
      </c>
      <c r="E360" s="1" t="s">
        <v>14</v>
      </c>
      <c r="F360" s="2">
        <v>44043</v>
      </c>
      <c r="G360" s="1">
        <v>16200</v>
      </c>
      <c r="H360" s="1">
        <v>3</v>
      </c>
      <c r="I360" s="1" t="s">
        <v>15</v>
      </c>
      <c r="J360" s="1" t="s">
        <v>55</v>
      </c>
    </row>
    <row r="361" spans="1:10">
      <c r="A361" s="1" t="s">
        <v>725</v>
      </c>
      <c r="B361" s="1" t="s">
        <v>726</v>
      </c>
      <c r="C361" s="1" t="s">
        <v>27</v>
      </c>
      <c r="D361" s="1" t="s">
        <v>109</v>
      </c>
      <c r="E361" s="1" t="s">
        <v>22</v>
      </c>
      <c r="F361" s="2">
        <v>45420</v>
      </c>
      <c r="G361" s="1">
        <v>7600</v>
      </c>
      <c r="H361" s="1">
        <v>3</v>
      </c>
      <c r="I361" s="1" t="s">
        <v>15</v>
      </c>
      <c r="J361" s="1" t="s">
        <v>16</v>
      </c>
    </row>
    <row r="362" spans="1:10">
      <c r="A362" s="1" t="s">
        <v>727</v>
      </c>
      <c r="B362" s="1" t="s">
        <v>728</v>
      </c>
      <c r="C362" s="1" t="s">
        <v>59</v>
      </c>
      <c r="D362" s="1" t="s">
        <v>60</v>
      </c>
      <c r="E362" s="1" t="s">
        <v>14</v>
      </c>
      <c r="F362" s="2">
        <v>44371</v>
      </c>
      <c r="G362" s="1">
        <v>12600</v>
      </c>
      <c r="H362" s="1">
        <v>3</v>
      </c>
      <c r="I362" s="1" t="s">
        <v>15</v>
      </c>
      <c r="J362" s="1" t="s">
        <v>16</v>
      </c>
    </row>
    <row r="363" spans="1:10">
      <c r="A363" s="1" t="s">
        <v>729</v>
      </c>
      <c r="B363" s="1" t="s">
        <v>730</v>
      </c>
      <c r="C363" s="1" t="s">
        <v>20</v>
      </c>
      <c r="D363" s="1" t="s">
        <v>75</v>
      </c>
      <c r="E363" s="1" t="s">
        <v>14</v>
      </c>
      <c r="F363" s="2">
        <v>42978</v>
      </c>
      <c r="G363" s="1">
        <v>13200</v>
      </c>
      <c r="H363" s="1">
        <v>3</v>
      </c>
      <c r="I363" s="1" t="s">
        <v>15</v>
      </c>
      <c r="J363" s="1" t="s">
        <v>29</v>
      </c>
    </row>
    <row r="364" spans="1:10">
      <c r="A364" s="1" t="s">
        <v>731</v>
      </c>
      <c r="B364" s="1" t="s">
        <v>525</v>
      </c>
      <c r="C364" s="1" t="s">
        <v>12</v>
      </c>
      <c r="D364" s="1" t="s">
        <v>32</v>
      </c>
      <c r="E364" s="1" t="s">
        <v>14</v>
      </c>
      <c r="F364" s="2">
        <v>41760</v>
      </c>
      <c r="G364" s="1">
        <v>7700</v>
      </c>
      <c r="H364" s="1">
        <v>3</v>
      </c>
      <c r="I364" s="1" t="s">
        <v>15</v>
      </c>
      <c r="J364" s="1" t="s">
        <v>55</v>
      </c>
    </row>
    <row r="365" spans="1:10">
      <c r="A365" s="1" t="s">
        <v>732</v>
      </c>
      <c r="B365" s="1" t="s">
        <v>733</v>
      </c>
      <c r="C365" s="1" t="s">
        <v>20</v>
      </c>
      <c r="D365" s="1" t="s">
        <v>21</v>
      </c>
      <c r="E365" s="1" t="s">
        <v>14</v>
      </c>
      <c r="F365" s="2">
        <v>43632</v>
      </c>
      <c r="G365" s="1">
        <v>7800</v>
      </c>
      <c r="H365" s="1">
        <v>4</v>
      </c>
      <c r="I365" s="1" t="s">
        <v>15</v>
      </c>
      <c r="J365" s="1" t="s">
        <v>16</v>
      </c>
    </row>
    <row r="366" spans="1:10">
      <c r="A366" s="1" t="s">
        <v>734</v>
      </c>
      <c r="B366" s="1" t="s">
        <v>735</v>
      </c>
      <c r="C366" s="1" t="s">
        <v>47</v>
      </c>
      <c r="D366" s="1" t="s">
        <v>317</v>
      </c>
      <c r="E366" s="1" t="s">
        <v>14</v>
      </c>
      <c r="F366" s="2">
        <v>45812</v>
      </c>
      <c r="G366" s="1">
        <v>7300</v>
      </c>
      <c r="H366" s="1">
        <v>3</v>
      </c>
      <c r="I366" s="1" t="s">
        <v>15</v>
      </c>
      <c r="J366" s="1" t="s">
        <v>55</v>
      </c>
    </row>
    <row r="367" spans="1:10">
      <c r="A367" s="1" t="s">
        <v>736</v>
      </c>
      <c r="B367" s="1" t="s">
        <v>429</v>
      </c>
      <c r="C367" s="1" t="s">
        <v>27</v>
      </c>
      <c r="D367" s="1" t="s">
        <v>40</v>
      </c>
      <c r="E367" s="1" t="s">
        <v>22</v>
      </c>
      <c r="F367" s="2">
        <v>44392</v>
      </c>
      <c r="G367" s="1">
        <v>11000</v>
      </c>
      <c r="H367" s="1">
        <v>5</v>
      </c>
      <c r="I367" s="1" t="s">
        <v>15</v>
      </c>
      <c r="J367" s="1" t="s">
        <v>16</v>
      </c>
    </row>
    <row r="368" spans="1:10">
      <c r="A368" s="1" t="s">
        <v>737</v>
      </c>
      <c r="B368" s="1" t="s">
        <v>581</v>
      </c>
      <c r="C368" s="1" t="s">
        <v>20</v>
      </c>
      <c r="D368" s="1" t="s">
        <v>218</v>
      </c>
      <c r="E368" s="1" t="s">
        <v>14</v>
      </c>
      <c r="F368" s="2">
        <v>41713</v>
      </c>
      <c r="G368" s="1">
        <v>8200</v>
      </c>
      <c r="H368" s="1">
        <v>5</v>
      </c>
      <c r="I368" s="1" t="s">
        <v>15</v>
      </c>
      <c r="J368" s="1" t="s">
        <v>29</v>
      </c>
    </row>
    <row r="369" spans="1:10">
      <c r="A369" s="1" t="s">
        <v>738</v>
      </c>
      <c r="B369" s="1" t="s">
        <v>231</v>
      </c>
      <c r="C369" s="1" t="s">
        <v>68</v>
      </c>
      <c r="D369" s="1" t="s">
        <v>177</v>
      </c>
      <c r="E369" s="1" t="s">
        <v>14</v>
      </c>
      <c r="F369" s="2">
        <v>41882</v>
      </c>
      <c r="G369" s="1">
        <v>15500</v>
      </c>
      <c r="H369" s="1">
        <v>5</v>
      </c>
      <c r="I369" s="1" t="s">
        <v>15</v>
      </c>
      <c r="J369" s="1" t="s">
        <v>29</v>
      </c>
    </row>
    <row r="370" spans="1:10">
      <c r="A370" s="1" t="s">
        <v>739</v>
      </c>
      <c r="B370" s="1" t="s">
        <v>740</v>
      </c>
      <c r="C370" s="1" t="s">
        <v>12</v>
      </c>
      <c r="D370" s="1" t="s">
        <v>13</v>
      </c>
      <c r="E370" s="1" t="s">
        <v>14</v>
      </c>
      <c r="F370" s="2">
        <v>42195</v>
      </c>
      <c r="G370" s="1">
        <v>6400</v>
      </c>
      <c r="H370" s="1">
        <v>3</v>
      </c>
      <c r="I370" s="1" t="s">
        <v>15</v>
      </c>
      <c r="J370" s="1" t="s">
        <v>16</v>
      </c>
    </row>
    <row r="371" spans="1:10">
      <c r="A371" s="1" t="s">
        <v>741</v>
      </c>
      <c r="B371" s="1" t="s">
        <v>742</v>
      </c>
      <c r="C371" s="1" t="s">
        <v>12</v>
      </c>
      <c r="D371" s="1" t="s">
        <v>32</v>
      </c>
      <c r="E371" s="1" t="s">
        <v>14</v>
      </c>
      <c r="F371" s="2">
        <v>43253</v>
      </c>
      <c r="G371" s="1">
        <v>11400</v>
      </c>
      <c r="H371" s="1">
        <v>5</v>
      </c>
      <c r="I371" s="1" t="s">
        <v>135</v>
      </c>
      <c r="J371" s="1" t="s">
        <v>16</v>
      </c>
    </row>
    <row r="372" spans="1:10">
      <c r="A372" s="1" t="s">
        <v>743</v>
      </c>
      <c r="B372" s="1" t="s">
        <v>744</v>
      </c>
      <c r="C372" s="1" t="s">
        <v>68</v>
      </c>
      <c r="D372" s="1" t="s">
        <v>177</v>
      </c>
      <c r="E372" s="1" t="s">
        <v>14</v>
      </c>
      <c r="F372" s="2">
        <v>41860</v>
      </c>
      <c r="G372" s="1">
        <v>12400</v>
      </c>
      <c r="H372" s="1">
        <v>4</v>
      </c>
      <c r="I372" s="1" t="s">
        <v>135</v>
      </c>
      <c r="J372" s="1" t="s">
        <v>29</v>
      </c>
    </row>
    <row r="373" spans="1:10">
      <c r="A373" s="1" t="s">
        <v>745</v>
      </c>
      <c r="B373" s="1" t="s">
        <v>746</v>
      </c>
      <c r="C373" s="1" t="s">
        <v>12</v>
      </c>
      <c r="D373" s="1" t="s">
        <v>64</v>
      </c>
      <c r="E373" s="1" t="s">
        <v>22</v>
      </c>
      <c r="F373" s="2">
        <v>46048</v>
      </c>
      <c r="G373" s="1">
        <v>11100</v>
      </c>
      <c r="H373" s="1">
        <v>3</v>
      </c>
      <c r="I373" s="1" t="s">
        <v>15</v>
      </c>
      <c r="J373" s="1" t="s">
        <v>16</v>
      </c>
    </row>
    <row r="374" spans="1:10">
      <c r="A374" s="1" t="s">
        <v>747</v>
      </c>
      <c r="B374" s="1" t="s">
        <v>748</v>
      </c>
      <c r="C374" s="1" t="s">
        <v>68</v>
      </c>
      <c r="D374" s="1" t="s">
        <v>69</v>
      </c>
      <c r="E374" s="1" t="s">
        <v>14</v>
      </c>
      <c r="F374" s="2">
        <v>41802</v>
      </c>
      <c r="G374" s="1">
        <v>10300</v>
      </c>
      <c r="H374" s="1">
        <v>3</v>
      </c>
      <c r="I374" s="1" t="s">
        <v>15</v>
      </c>
      <c r="J374" s="1" t="s">
        <v>55</v>
      </c>
    </row>
    <row r="375" spans="1:10">
      <c r="A375" s="1" t="s">
        <v>749</v>
      </c>
      <c r="B375" s="1" t="s">
        <v>750</v>
      </c>
      <c r="C375" s="1" t="s">
        <v>47</v>
      </c>
      <c r="D375" s="1" t="s">
        <v>317</v>
      </c>
      <c r="E375" s="1" t="s">
        <v>14</v>
      </c>
      <c r="F375" s="2">
        <v>45794</v>
      </c>
      <c r="G375" s="1">
        <v>9300</v>
      </c>
      <c r="H375" s="1">
        <v>3</v>
      </c>
      <c r="I375" s="1" t="s">
        <v>15</v>
      </c>
      <c r="J375" s="1" t="s">
        <v>23</v>
      </c>
    </row>
    <row r="376" spans="1:10">
      <c r="A376" s="1" t="s">
        <v>751</v>
      </c>
      <c r="B376" s="1" t="s">
        <v>752</v>
      </c>
      <c r="C376" s="1" t="s">
        <v>59</v>
      </c>
      <c r="D376" s="1" t="s">
        <v>86</v>
      </c>
      <c r="E376" s="1" t="s">
        <v>22</v>
      </c>
      <c r="F376" s="2">
        <v>43414</v>
      </c>
      <c r="G376" s="1">
        <v>10800</v>
      </c>
      <c r="H376" s="1">
        <v>3</v>
      </c>
      <c r="I376" s="1" t="s">
        <v>135</v>
      </c>
      <c r="J376" s="1" t="s">
        <v>16</v>
      </c>
    </row>
    <row r="377" spans="1:10">
      <c r="A377" s="1" t="s">
        <v>753</v>
      </c>
      <c r="B377" s="1" t="s">
        <v>754</v>
      </c>
      <c r="C377" s="1" t="s">
        <v>36</v>
      </c>
      <c r="D377" s="1" t="s">
        <v>37</v>
      </c>
      <c r="E377" s="1" t="s">
        <v>14</v>
      </c>
      <c r="F377" s="2">
        <v>42284</v>
      </c>
      <c r="G377" s="1">
        <v>11300</v>
      </c>
      <c r="H377" s="1">
        <v>4</v>
      </c>
      <c r="I377" s="1" t="s">
        <v>15</v>
      </c>
      <c r="J377" s="1" t="s">
        <v>16</v>
      </c>
    </row>
    <row r="378" spans="1:10">
      <c r="A378" s="1" t="s">
        <v>755</v>
      </c>
      <c r="B378" s="1" t="s">
        <v>756</v>
      </c>
      <c r="C378" s="1" t="s">
        <v>36</v>
      </c>
      <c r="D378" s="1" t="s">
        <v>37</v>
      </c>
      <c r="E378" s="1" t="s">
        <v>22</v>
      </c>
      <c r="F378" s="2">
        <v>44770</v>
      </c>
      <c r="G378" s="1">
        <v>10600</v>
      </c>
      <c r="H378" s="1">
        <v>5</v>
      </c>
      <c r="I378" s="1" t="s">
        <v>15</v>
      </c>
      <c r="J378" s="1" t="s">
        <v>16</v>
      </c>
    </row>
    <row r="379" spans="1:10">
      <c r="A379" s="1" t="s">
        <v>757</v>
      </c>
      <c r="B379" s="1" t="s">
        <v>167</v>
      </c>
      <c r="C379" s="1" t="s">
        <v>59</v>
      </c>
      <c r="D379" s="1" t="s">
        <v>86</v>
      </c>
      <c r="E379" s="1" t="s">
        <v>14</v>
      </c>
      <c r="F379" s="2">
        <v>42131</v>
      </c>
      <c r="G379" s="1">
        <v>13000</v>
      </c>
      <c r="H379" s="1">
        <v>2</v>
      </c>
      <c r="I379" s="1" t="s">
        <v>15</v>
      </c>
      <c r="J379" s="1" t="s">
        <v>16</v>
      </c>
    </row>
    <row r="380" spans="1:10">
      <c r="A380" s="1" t="s">
        <v>758</v>
      </c>
      <c r="B380" s="1" t="s">
        <v>759</v>
      </c>
      <c r="C380" s="1" t="s">
        <v>68</v>
      </c>
      <c r="D380" s="1" t="s">
        <v>69</v>
      </c>
      <c r="E380" s="1" t="s">
        <v>14</v>
      </c>
      <c r="F380" s="2">
        <v>41657</v>
      </c>
      <c r="G380" s="1">
        <v>13400</v>
      </c>
      <c r="H380" s="1">
        <v>1</v>
      </c>
      <c r="I380" s="1" t="s">
        <v>15</v>
      </c>
      <c r="J380" s="1" t="s">
        <v>55</v>
      </c>
    </row>
    <row r="381" spans="1:10">
      <c r="A381" s="1" t="s">
        <v>760</v>
      </c>
      <c r="B381" s="1" t="s">
        <v>761</v>
      </c>
      <c r="C381" s="1" t="s">
        <v>59</v>
      </c>
      <c r="D381" s="1" t="s">
        <v>118</v>
      </c>
      <c r="E381" s="1" t="s">
        <v>14</v>
      </c>
      <c r="F381" s="2">
        <v>46082</v>
      </c>
      <c r="G381" s="1">
        <v>8100</v>
      </c>
      <c r="H381" s="1">
        <v>4</v>
      </c>
      <c r="I381" s="1" t="s">
        <v>15</v>
      </c>
      <c r="J381" s="1" t="s">
        <v>23</v>
      </c>
    </row>
    <row r="382" spans="1:10">
      <c r="A382" s="1" t="s">
        <v>762</v>
      </c>
      <c r="B382" s="1" t="s">
        <v>763</v>
      </c>
      <c r="C382" s="1" t="s">
        <v>121</v>
      </c>
      <c r="D382" s="1" t="s">
        <v>475</v>
      </c>
      <c r="E382" s="1" t="s">
        <v>14</v>
      </c>
      <c r="F382" s="2">
        <v>45092</v>
      </c>
      <c r="G382" s="1">
        <v>12900</v>
      </c>
      <c r="H382" s="1">
        <v>4</v>
      </c>
      <c r="I382" s="1" t="s">
        <v>15</v>
      </c>
      <c r="J382" s="1" t="s">
        <v>23</v>
      </c>
    </row>
    <row r="383" spans="1:10">
      <c r="A383" s="1" t="s">
        <v>764</v>
      </c>
      <c r="B383" s="1" t="s">
        <v>765</v>
      </c>
      <c r="C383" s="1" t="s">
        <v>47</v>
      </c>
      <c r="D383" s="1" t="s">
        <v>48</v>
      </c>
      <c r="E383" s="1" t="s">
        <v>14</v>
      </c>
      <c r="F383" s="2">
        <v>42383</v>
      </c>
      <c r="G383" s="1">
        <v>8900</v>
      </c>
      <c r="H383" s="1">
        <v>5</v>
      </c>
      <c r="I383" s="1" t="s">
        <v>135</v>
      </c>
      <c r="J383" s="1" t="s">
        <v>16</v>
      </c>
    </row>
    <row r="384" spans="1:10">
      <c r="A384" s="1" t="s">
        <v>766</v>
      </c>
      <c r="B384" s="1" t="s">
        <v>767</v>
      </c>
      <c r="C384" s="1" t="s">
        <v>121</v>
      </c>
      <c r="D384" s="1" t="s">
        <v>288</v>
      </c>
      <c r="E384" s="1" t="s">
        <v>14</v>
      </c>
      <c r="F384" s="2">
        <v>43782</v>
      </c>
      <c r="G384" s="1">
        <v>9500</v>
      </c>
      <c r="H384" s="1">
        <v>4</v>
      </c>
      <c r="I384" s="1" t="s">
        <v>15</v>
      </c>
      <c r="J384" s="1" t="s">
        <v>29</v>
      </c>
    </row>
    <row r="385" spans="1:10">
      <c r="A385" s="1" t="s">
        <v>768</v>
      </c>
      <c r="B385" s="1" t="s">
        <v>769</v>
      </c>
      <c r="C385" s="1" t="s">
        <v>12</v>
      </c>
      <c r="D385" s="1" t="s">
        <v>13</v>
      </c>
      <c r="E385" s="1" t="s">
        <v>22</v>
      </c>
      <c r="F385" s="2">
        <v>43240</v>
      </c>
      <c r="G385" s="1">
        <v>7200</v>
      </c>
      <c r="H385" s="1">
        <v>4</v>
      </c>
      <c r="I385" s="1" t="s">
        <v>15</v>
      </c>
      <c r="J385" s="1" t="s">
        <v>16</v>
      </c>
    </row>
    <row r="386" spans="1:10">
      <c r="A386" s="1" t="s">
        <v>770</v>
      </c>
      <c r="B386" s="1" t="s">
        <v>771</v>
      </c>
      <c r="C386" s="1" t="s">
        <v>36</v>
      </c>
      <c r="D386" s="1" t="s">
        <v>101</v>
      </c>
      <c r="E386" s="1" t="s">
        <v>22</v>
      </c>
      <c r="F386" s="2">
        <v>41849</v>
      </c>
      <c r="G386" s="1">
        <v>8900</v>
      </c>
      <c r="H386" s="1">
        <v>5</v>
      </c>
      <c r="I386" s="1" t="s">
        <v>15</v>
      </c>
      <c r="J386" s="1" t="s">
        <v>29</v>
      </c>
    </row>
    <row r="387" spans="1:10">
      <c r="A387" s="1" t="s">
        <v>772</v>
      </c>
      <c r="B387" s="1" t="s">
        <v>598</v>
      </c>
      <c r="C387" s="1" t="s">
        <v>59</v>
      </c>
      <c r="D387" s="1" t="s">
        <v>118</v>
      </c>
      <c r="E387" s="1" t="s">
        <v>14</v>
      </c>
      <c r="F387" s="2">
        <v>46148</v>
      </c>
      <c r="G387" s="1">
        <v>7500</v>
      </c>
      <c r="H387" s="1">
        <v>3</v>
      </c>
      <c r="I387" s="1" t="s">
        <v>15</v>
      </c>
      <c r="J387" s="1" t="s">
        <v>16</v>
      </c>
    </row>
    <row r="388" spans="1:10">
      <c r="A388" s="1" t="s">
        <v>773</v>
      </c>
      <c r="B388" s="1" t="s">
        <v>774</v>
      </c>
      <c r="C388" s="1" t="s">
        <v>121</v>
      </c>
      <c r="D388" s="1" t="s">
        <v>163</v>
      </c>
      <c r="E388" s="1" t="s">
        <v>22</v>
      </c>
      <c r="F388" s="2">
        <v>42044</v>
      </c>
      <c r="G388" s="1">
        <v>6300</v>
      </c>
      <c r="H388" s="1">
        <v>3</v>
      </c>
      <c r="I388" s="1" t="s">
        <v>15</v>
      </c>
      <c r="J388" s="1" t="s">
        <v>44</v>
      </c>
    </row>
    <row r="389" spans="1:10">
      <c r="A389" s="1" t="s">
        <v>775</v>
      </c>
      <c r="B389" s="1" t="s">
        <v>443</v>
      </c>
      <c r="C389" s="1" t="s">
        <v>68</v>
      </c>
      <c r="D389" s="1" t="s">
        <v>91</v>
      </c>
      <c r="E389" s="1" t="s">
        <v>14</v>
      </c>
      <c r="F389" s="2">
        <v>41642</v>
      </c>
      <c r="G389" s="1">
        <v>7700</v>
      </c>
      <c r="H389" s="1">
        <v>1</v>
      </c>
      <c r="I389" s="1" t="s">
        <v>15</v>
      </c>
      <c r="J389" s="1" t="s">
        <v>16</v>
      </c>
    </row>
    <row r="390" spans="1:10">
      <c r="A390" s="1" t="s">
        <v>776</v>
      </c>
      <c r="B390" s="1" t="s">
        <v>777</v>
      </c>
      <c r="C390" s="1" t="s">
        <v>20</v>
      </c>
      <c r="D390" s="1" t="s">
        <v>75</v>
      </c>
      <c r="E390" s="1" t="s">
        <v>14</v>
      </c>
      <c r="F390" s="2">
        <v>44206</v>
      </c>
      <c r="G390" s="1">
        <v>11500</v>
      </c>
      <c r="H390" s="1">
        <v>4</v>
      </c>
      <c r="I390" s="1" t="s">
        <v>15</v>
      </c>
      <c r="J390" s="1" t="s">
        <v>16</v>
      </c>
    </row>
    <row r="391" spans="1:10">
      <c r="A391" s="1" t="s">
        <v>778</v>
      </c>
      <c r="B391" s="1" t="s">
        <v>779</v>
      </c>
      <c r="C391" s="1" t="s">
        <v>36</v>
      </c>
      <c r="D391" s="1" t="s">
        <v>37</v>
      </c>
      <c r="E391" s="1" t="s">
        <v>22</v>
      </c>
      <c r="F391" s="2">
        <v>44454</v>
      </c>
      <c r="G391" s="1">
        <v>12500</v>
      </c>
      <c r="H391" s="1">
        <v>3</v>
      </c>
      <c r="I391" s="1" t="s">
        <v>15</v>
      </c>
      <c r="J391" s="1" t="s">
        <v>16</v>
      </c>
    </row>
    <row r="392" spans="1:10">
      <c r="A392" s="1" t="s">
        <v>780</v>
      </c>
      <c r="B392" s="1" t="s">
        <v>781</v>
      </c>
      <c r="C392" s="1" t="s">
        <v>47</v>
      </c>
      <c r="D392" s="1" t="s">
        <v>54</v>
      </c>
      <c r="E392" s="1" t="s">
        <v>14</v>
      </c>
      <c r="F392" s="2">
        <v>44089</v>
      </c>
      <c r="G392" s="1">
        <v>19000</v>
      </c>
      <c r="H392" s="1">
        <v>3</v>
      </c>
      <c r="I392" s="1" t="s">
        <v>15</v>
      </c>
      <c r="J392" s="1" t="s">
        <v>16</v>
      </c>
    </row>
    <row r="393" spans="1:10">
      <c r="A393" s="1" t="s">
        <v>782</v>
      </c>
      <c r="B393" s="1" t="s">
        <v>563</v>
      </c>
      <c r="C393" s="1" t="s">
        <v>59</v>
      </c>
      <c r="D393" s="1" t="s">
        <v>86</v>
      </c>
      <c r="E393" s="1" t="s">
        <v>14</v>
      </c>
      <c r="F393" s="2">
        <v>42766</v>
      </c>
      <c r="G393" s="1">
        <v>9500</v>
      </c>
      <c r="H393" s="1">
        <v>2</v>
      </c>
      <c r="I393" s="1" t="s">
        <v>15</v>
      </c>
      <c r="J393" s="1" t="s">
        <v>29</v>
      </c>
    </row>
    <row r="394" spans="1:10">
      <c r="A394" s="1" t="s">
        <v>783</v>
      </c>
      <c r="B394" s="1" t="s">
        <v>784</v>
      </c>
      <c r="C394" s="1" t="s">
        <v>68</v>
      </c>
      <c r="D394" s="1" t="s">
        <v>177</v>
      </c>
      <c r="E394" s="1" t="s">
        <v>22</v>
      </c>
      <c r="F394" s="2">
        <v>44934</v>
      </c>
      <c r="G394" s="1">
        <v>14300</v>
      </c>
      <c r="H394" s="1">
        <v>4</v>
      </c>
      <c r="I394" s="1" t="s">
        <v>15</v>
      </c>
      <c r="J394" s="1" t="s">
        <v>29</v>
      </c>
    </row>
    <row r="395" spans="1:10">
      <c r="A395" s="1" t="s">
        <v>785</v>
      </c>
      <c r="B395" s="1" t="s">
        <v>786</v>
      </c>
      <c r="C395" s="1" t="s">
        <v>59</v>
      </c>
      <c r="D395" s="1" t="s">
        <v>118</v>
      </c>
      <c r="E395" s="1" t="s">
        <v>22</v>
      </c>
      <c r="F395" s="2">
        <v>42912</v>
      </c>
      <c r="G395" s="1">
        <v>8400</v>
      </c>
      <c r="H395" s="1">
        <v>3</v>
      </c>
      <c r="I395" s="1" t="s">
        <v>15</v>
      </c>
      <c r="J395" s="1" t="s">
        <v>16</v>
      </c>
    </row>
    <row r="396" spans="1:10">
      <c r="A396" s="1" t="s">
        <v>787</v>
      </c>
      <c r="B396" s="1" t="s">
        <v>788</v>
      </c>
      <c r="C396" s="1" t="s">
        <v>36</v>
      </c>
      <c r="D396" s="1" t="s">
        <v>37</v>
      </c>
      <c r="E396" s="1" t="s">
        <v>14</v>
      </c>
      <c r="F396" s="2">
        <v>44637</v>
      </c>
      <c r="G396" s="1">
        <v>11600</v>
      </c>
      <c r="H396" s="1">
        <v>4</v>
      </c>
      <c r="I396" s="1" t="s">
        <v>15</v>
      </c>
      <c r="J396" s="1" t="s">
        <v>16</v>
      </c>
    </row>
    <row r="397" spans="1:10">
      <c r="A397" s="1" t="s">
        <v>789</v>
      </c>
      <c r="B397" s="1" t="s">
        <v>790</v>
      </c>
      <c r="C397" s="1" t="s">
        <v>36</v>
      </c>
      <c r="D397" s="1" t="s">
        <v>72</v>
      </c>
      <c r="E397" s="1" t="s">
        <v>14</v>
      </c>
      <c r="F397" s="2">
        <v>42194</v>
      </c>
      <c r="G397" s="1">
        <v>14800</v>
      </c>
      <c r="H397" s="1">
        <v>2</v>
      </c>
      <c r="I397" s="1" t="s">
        <v>15</v>
      </c>
      <c r="J397" s="1" t="s">
        <v>16</v>
      </c>
    </row>
    <row r="398" spans="1:10">
      <c r="A398" s="1" t="s">
        <v>791</v>
      </c>
      <c r="B398" s="1" t="s">
        <v>792</v>
      </c>
      <c r="C398" s="1" t="s">
        <v>20</v>
      </c>
      <c r="D398" s="1" t="s">
        <v>218</v>
      </c>
      <c r="E398" s="1" t="s">
        <v>14</v>
      </c>
      <c r="F398" s="2">
        <v>41875</v>
      </c>
      <c r="G398" s="1">
        <v>9100</v>
      </c>
      <c r="H398" s="1">
        <v>3</v>
      </c>
      <c r="I398" s="1" t="s">
        <v>15</v>
      </c>
      <c r="J398" s="1" t="s">
        <v>29</v>
      </c>
    </row>
    <row r="399" spans="1:10">
      <c r="A399" s="1" t="s">
        <v>793</v>
      </c>
      <c r="B399" s="1" t="s">
        <v>794</v>
      </c>
      <c r="C399" s="1" t="s">
        <v>59</v>
      </c>
      <c r="D399" s="1" t="s">
        <v>118</v>
      </c>
      <c r="E399" s="1" t="s">
        <v>14</v>
      </c>
      <c r="F399" s="2">
        <v>46083</v>
      </c>
      <c r="G399" s="1">
        <v>6000</v>
      </c>
      <c r="H399" s="1">
        <v>3</v>
      </c>
      <c r="I399" s="1" t="s">
        <v>15</v>
      </c>
      <c r="J399" s="1" t="s">
        <v>29</v>
      </c>
    </row>
    <row r="400" spans="1:10">
      <c r="A400" s="1" t="s">
        <v>795</v>
      </c>
      <c r="B400" s="1" t="s">
        <v>796</v>
      </c>
      <c r="C400" s="1" t="s">
        <v>68</v>
      </c>
      <c r="D400" s="1" t="s">
        <v>69</v>
      </c>
      <c r="E400" s="1" t="s">
        <v>14</v>
      </c>
      <c r="F400" s="2">
        <v>45840</v>
      </c>
      <c r="G400" s="1">
        <v>12100</v>
      </c>
      <c r="H400" s="1">
        <v>2</v>
      </c>
      <c r="I400" s="1" t="s">
        <v>15</v>
      </c>
      <c r="J400" s="1" t="s">
        <v>16</v>
      </c>
    </row>
    <row r="401" spans="1:10">
      <c r="A401" s="1" t="s">
        <v>797</v>
      </c>
      <c r="B401" s="1" t="s">
        <v>798</v>
      </c>
      <c r="C401" s="1" t="s">
        <v>12</v>
      </c>
      <c r="D401" s="1" t="s">
        <v>13</v>
      </c>
      <c r="E401" s="1" t="s">
        <v>14</v>
      </c>
      <c r="F401" s="2">
        <v>45950</v>
      </c>
      <c r="G401" s="1">
        <v>7600</v>
      </c>
      <c r="H401" s="1">
        <v>4</v>
      </c>
      <c r="I401" s="1" t="s">
        <v>15</v>
      </c>
      <c r="J401" s="1" t="s">
        <v>16</v>
      </c>
    </row>
    <row r="402" spans="1:10">
      <c r="A402" s="1" t="s">
        <v>799</v>
      </c>
      <c r="B402" s="1" t="s">
        <v>800</v>
      </c>
      <c r="C402" s="1" t="s">
        <v>27</v>
      </c>
      <c r="D402" s="1" t="s">
        <v>40</v>
      </c>
      <c r="E402" s="1" t="s">
        <v>14</v>
      </c>
      <c r="F402" s="2">
        <v>44457</v>
      </c>
      <c r="G402" s="1">
        <v>11500</v>
      </c>
      <c r="H402" s="1">
        <v>3</v>
      </c>
      <c r="I402" s="1" t="s">
        <v>15</v>
      </c>
      <c r="J402" s="1" t="s">
        <v>29</v>
      </c>
    </row>
    <row r="403" spans="1:10">
      <c r="A403" s="1" t="s">
        <v>801</v>
      </c>
      <c r="B403" s="1" t="s">
        <v>515</v>
      </c>
      <c r="C403" s="1" t="s">
        <v>27</v>
      </c>
      <c r="D403" s="1" t="s">
        <v>43</v>
      </c>
      <c r="E403" s="1" t="s">
        <v>22</v>
      </c>
      <c r="F403" s="2">
        <v>44254</v>
      </c>
      <c r="G403" s="1">
        <v>13500</v>
      </c>
      <c r="H403" s="1">
        <v>5</v>
      </c>
      <c r="I403" s="1" t="s">
        <v>15</v>
      </c>
      <c r="J403" s="1" t="s">
        <v>55</v>
      </c>
    </row>
    <row r="404" spans="1:10">
      <c r="A404" s="1" t="s">
        <v>802</v>
      </c>
      <c r="B404" s="1" t="s">
        <v>803</v>
      </c>
      <c r="C404" s="1" t="s">
        <v>68</v>
      </c>
      <c r="D404" s="1" t="s">
        <v>96</v>
      </c>
      <c r="E404" s="1" t="s">
        <v>22</v>
      </c>
      <c r="F404" s="2">
        <v>42348</v>
      </c>
      <c r="G404" s="1">
        <v>19600</v>
      </c>
      <c r="H404" s="1">
        <v>4</v>
      </c>
      <c r="I404" s="1" t="s">
        <v>15</v>
      </c>
      <c r="J404" s="1" t="s">
        <v>23</v>
      </c>
    </row>
    <row r="405" spans="1:10">
      <c r="A405" s="1" t="s">
        <v>804</v>
      </c>
      <c r="B405" s="1" t="s">
        <v>521</v>
      </c>
      <c r="C405" s="1" t="s">
        <v>47</v>
      </c>
      <c r="D405" s="1" t="s">
        <v>256</v>
      </c>
      <c r="E405" s="1" t="s">
        <v>22</v>
      </c>
      <c r="F405" s="2">
        <v>41802</v>
      </c>
      <c r="G405" s="1">
        <v>13800</v>
      </c>
      <c r="H405" s="1">
        <v>3</v>
      </c>
      <c r="I405" s="1" t="s">
        <v>135</v>
      </c>
      <c r="J405" s="1" t="s">
        <v>16</v>
      </c>
    </row>
    <row r="406" spans="1:10">
      <c r="A406" s="1" t="s">
        <v>805</v>
      </c>
      <c r="B406" s="1" t="s">
        <v>806</v>
      </c>
      <c r="C406" s="1" t="s">
        <v>59</v>
      </c>
      <c r="D406" s="1" t="s">
        <v>86</v>
      </c>
      <c r="E406" s="1" t="s">
        <v>22</v>
      </c>
      <c r="F406" s="2">
        <v>45175</v>
      </c>
      <c r="G406" s="1">
        <v>13600</v>
      </c>
      <c r="H406" s="1">
        <v>4</v>
      </c>
      <c r="I406" s="1" t="s">
        <v>15</v>
      </c>
      <c r="J406" s="1" t="s">
        <v>16</v>
      </c>
    </row>
    <row r="407" spans="1:10">
      <c r="A407" s="1" t="s">
        <v>807</v>
      </c>
      <c r="B407" s="1" t="s">
        <v>808</v>
      </c>
      <c r="C407" s="1" t="s">
        <v>121</v>
      </c>
      <c r="D407" s="1" t="s">
        <v>163</v>
      </c>
      <c r="E407" s="1" t="s">
        <v>14</v>
      </c>
      <c r="F407" s="2">
        <v>44865</v>
      </c>
      <c r="G407" s="1">
        <v>8100</v>
      </c>
      <c r="H407" s="1">
        <v>3</v>
      </c>
      <c r="I407" s="1" t="s">
        <v>15</v>
      </c>
      <c r="J407" s="1" t="s">
        <v>29</v>
      </c>
    </row>
    <row r="408" spans="1:10">
      <c r="A408" s="1" t="s">
        <v>809</v>
      </c>
      <c r="B408" s="1" t="s">
        <v>810</v>
      </c>
      <c r="C408" s="1" t="s">
        <v>47</v>
      </c>
      <c r="D408" s="1" t="s">
        <v>317</v>
      </c>
      <c r="E408" s="1" t="s">
        <v>22</v>
      </c>
      <c r="F408" s="2">
        <v>42640</v>
      </c>
      <c r="G408" s="1">
        <v>9000</v>
      </c>
      <c r="H408" s="1">
        <v>2</v>
      </c>
      <c r="I408" s="1" t="s">
        <v>15</v>
      </c>
      <c r="J408" s="1" t="s">
        <v>16</v>
      </c>
    </row>
    <row r="409" spans="1:10">
      <c r="A409" s="1" t="s">
        <v>811</v>
      </c>
      <c r="B409" s="1" t="s">
        <v>812</v>
      </c>
      <c r="C409" s="1" t="s">
        <v>121</v>
      </c>
      <c r="D409" s="1" t="s">
        <v>288</v>
      </c>
      <c r="E409" s="1" t="s">
        <v>14</v>
      </c>
      <c r="F409" s="2">
        <v>46192</v>
      </c>
      <c r="G409" s="1">
        <v>10800</v>
      </c>
      <c r="H409" s="1">
        <v>4</v>
      </c>
      <c r="I409" s="1" t="s">
        <v>15</v>
      </c>
      <c r="J409" s="1" t="s">
        <v>29</v>
      </c>
    </row>
    <row r="410" spans="1:10">
      <c r="A410" s="1" t="s">
        <v>813</v>
      </c>
      <c r="B410" s="1" t="s">
        <v>814</v>
      </c>
      <c r="C410" s="1" t="s">
        <v>68</v>
      </c>
      <c r="D410" s="1" t="s">
        <v>177</v>
      </c>
      <c r="E410" s="1" t="s">
        <v>14</v>
      </c>
      <c r="F410" s="2">
        <v>42439</v>
      </c>
      <c r="G410" s="1">
        <v>9600</v>
      </c>
      <c r="H410" s="1">
        <v>3</v>
      </c>
      <c r="I410" s="1" t="s">
        <v>15</v>
      </c>
      <c r="J410" s="1" t="s">
        <v>23</v>
      </c>
    </row>
    <row r="411" spans="1:10">
      <c r="A411" s="1" t="s">
        <v>815</v>
      </c>
      <c r="B411" s="1" t="s">
        <v>816</v>
      </c>
      <c r="C411" s="1" t="s">
        <v>59</v>
      </c>
      <c r="D411" s="1" t="s">
        <v>86</v>
      </c>
      <c r="E411" s="1" t="s">
        <v>22</v>
      </c>
      <c r="F411" s="2">
        <v>44929</v>
      </c>
      <c r="G411" s="1">
        <v>9100</v>
      </c>
      <c r="H411" s="1">
        <v>3</v>
      </c>
      <c r="I411" s="1" t="s">
        <v>15</v>
      </c>
      <c r="J411" s="1" t="s">
        <v>29</v>
      </c>
    </row>
    <row r="412" spans="1:10">
      <c r="A412" s="1" t="s">
        <v>817</v>
      </c>
      <c r="B412" s="1" t="s">
        <v>818</v>
      </c>
      <c r="C412" s="1" t="s">
        <v>36</v>
      </c>
      <c r="D412" s="1" t="s">
        <v>101</v>
      </c>
      <c r="E412" s="1" t="s">
        <v>14</v>
      </c>
      <c r="F412" s="2">
        <v>44128</v>
      </c>
      <c r="G412" s="1">
        <v>10400</v>
      </c>
      <c r="H412" s="1">
        <v>3</v>
      </c>
      <c r="I412" s="1" t="s">
        <v>15</v>
      </c>
      <c r="J412" s="1" t="s">
        <v>23</v>
      </c>
    </row>
    <row r="413" spans="1:10">
      <c r="A413" s="1" t="s">
        <v>819</v>
      </c>
      <c r="B413" s="1" t="s">
        <v>820</v>
      </c>
      <c r="C413" s="1" t="s">
        <v>47</v>
      </c>
      <c r="D413" s="1" t="s">
        <v>256</v>
      </c>
      <c r="E413" s="1" t="s">
        <v>14</v>
      </c>
      <c r="F413" s="2">
        <v>42804</v>
      </c>
      <c r="G413" s="1">
        <v>12200</v>
      </c>
      <c r="H413" s="1">
        <v>2</v>
      </c>
      <c r="I413" s="1" t="s">
        <v>135</v>
      </c>
      <c r="J413" s="1" t="s">
        <v>29</v>
      </c>
    </row>
    <row r="414" spans="1:10">
      <c r="A414" s="1" t="s">
        <v>821</v>
      </c>
      <c r="B414" s="1" t="s">
        <v>129</v>
      </c>
      <c r="C414" s="1" t="s">
        <v>59</v>
      </c>
      <c r="D414" s="1" t="s">
        <v>106</v>
      </c>
      <c r="E414" s="1" t="s">
        <v>22</v>
      </c>
      <c r="F414" s="2">
        <v>43419</v>
      </c>
      <c r="G414" s="1">
        <v>10300</v>
      </c>
      <c r="H414" s="1">
        <v>4</v>
      </c>
      <c r="I414" s="1" t="s">
        <v>15</v>
      </c>
      <c r="J414" s="1" t="s">
        <v>29</v>
      </c>
    </row>
    <row r="415" spans="1:10">
      <c r="A415" s="1" t="s">
        <v>822</v>
      </c>
      <c r="B415" s="1" t="s">
        <v>469</v>
      </c>
      <c r="C415" s="1" t="s">
        <v>27</v>
      </c>
      <c r="D415" s="1" t="s">
        <v>109</v>
      </c>
      <c r="E415" s="1" t="s">
        <v>14</v>
      </c>
      <c r="F415" s="2">
        <v>43674</v>
      </c>
      <c r="G415" s="1">
        <v>5900</v>
      </c>
      <c r="H415" s="1">
        <v>2</v>
      </c>
      <c r="I415" s="1" t="s">
        <v>15</v>
      </c>
      <c r="J415" s="1" t="s">
        <v>29</v>
      </c>
    </row>
    <row r="416" spans="1:10">
      <c r="A416" s="1" t="s">
        <v>823</v>
      </c>
      <c r="B416" s="1" t="s">
        <v>111</v>
      </c>
      <c r="C416" s="1" t="s">
        <v>59</v>
      </c>
      <c r="D416" s="1" t="s">
        <v>106</v>
      </c>
      <c r="E416" s="1" t="s">
        <v>22</v>
      </c>
      <c r="F416" s="2">
        <v>46061</v>
      </c>
      <c r="G416" s="1">
        <v>9200</v>
      </c>
      <c r="H416" s="1">
        <v>3</v>
      </c>
      <c r="I416" s="1" t="s">
        <v>135</v>
      </c>
      <c r="J416" s="1" t="s">
        <v>16</v>
      </c>
    </row>
    <row r="417" spans="1:10">
      <c r="A417" s="1" t="s">
        <v>824</v>
      </c>
      <c r="B417" s="1" t="s">
        <v>825</v>
      </c>
      <c r="C417" s="1" t="s">
        <v>59</v>
      </c>
      <c r="D417" s="1" t="s">
        <v>118</v>
      </c>
      <c r="E417" s="1" t="s">
        <v>14</v>
      </c>
      <c r="F417" s="2">
        <v>42521</v>
      </c>
      <c r="G417" s="1">
        <v>8500</v>
      </c>
      <c r="H417" s="1">
        <v>2</v>
      </c>
      <c r="I417" s="1" t="s">
        <v>135</v>
      </c>
      <c r="J417" s="1" t="s">
        <v>16</v>
      </c>
    </row>
    <row r="418" spans="1:10">
      <c r="A418" s="1" t="s">
        <v>826</v>
      </c>
      <c r="B418" s="1" t="s">
        <v>827</v>
      </c>
      <c r="C418" s="1" t="s">
        <v>20</v>
      </c>
      <c r="D418" s="1" t="s">
        <v>218</v>
      </c>
      <c r="E418" s="1" t="s">
        <v>22</v>
      </c>
      <c r="F418" s="2">
        <v>41650</v>
      </c>
      <c r="G418" s="1">
        <v>8500</v>
      </c>
      <c r="H418" s="1">
        <v>2</v>
      </c>
      <c r="I418" s="1" t="s">
        <v>61</v>
      </c>
      <c r="J418" s="1" t="s">
        <v>55</v>
      </c>
    </row>
    <row r="419" spans="1:10">
      <c r="A419" s="1" t="s">
        <v>828</v>
      </c>
      <c r="B419" s="1" t="s">
        <v>829</v>
      </c>
      <c r="C419" s="1" t="s">
        <v>36</v>
      </c>
      <c r="D419" s="1" t="s">
        <v>101</v>
      </c>
      <c r="E419" s="1" t="s">
        <v>14</v>
      </c>
      <c r="F419" s="2">
        <v>45768</v>
      </c>
      <c r="G419" s="1">
        <v>9000</v>
      </c>
      <c r="H419" s="1">
        <v>4</v>
      </c>
      <c r="I419" s="1" t="s">
        <v>15</v>
      </c>
      <c r="J419" s="1" t="s">
        <v>29</v>
      </c>
    </row>
    <row r="420" spans="1:10">
      <c r="A420" s="1" t="s">
        <v>830</v>
      </c>
      <c r="B420" s="1" t="s">
        <v>831</v>
      </c>
      <c r="C420" s="1" t="s">
        <v>121</v>
      </c>
      <c r="D420" s="1" t="s">
        <v>288</v>
      </c>
      <c r="E420" s="1" t="s">
        <v>22</v>
      </c>
      <c r="F420" s="2">
        <v>44394</v>
      </c>
      <c r="G420" s="1">
        <v>11500</v>
      </c>
      <c r="H420" s="1">
        <v>4</v>
      </c>
      <c r="I420" s="1" t="s">
        <v>15</v>
      </c>
      <c r="J420" s="1" t="s">
        <v>29</v>
      </c>
    </row>
    <row r="421" spans="1:10">
      <c r="A421" s="1" t="s">
        <v>832</v>
      </c>
      <c r="B421" s="1" t="s">
        <v>233</v>
      </c>
      <c r="C421" s="1" t="s">
        <v>59</v>
      </c>
      <c r="D421" s="1" t="s">
        <v>86</v>
      </c>
      <c r="E421" s="1" t="s">
        <v>14</v>
      </c>
      <c r="F421" s="2">
        <v>45598</v>
      </c>
      <c r="G421" s="1">
        <v>13700</v>
      </c>
      <c r="H421" s="1">
        <v>4</v>
      </c>
      <c r="I421" s="1" t="s">
        <v>15</v>
      </c>
      <c r="J421" s="1" t="s">
        <v>16</v>
      </c>
    </row>
    <row r="422" spans="1:10">
      <c r="A422" s="1" t="s">
        <v>833</v>
      </c>
      <c r="B422" s="1" t="s">
        <v>834</v>
      </c>
      <c r="C422" s="1" t="s">
        <v>36</v>
      </c>
      <c r="D422" s="1" t="s">
        <v>320</v>
      </c>
      <c r="E422" s="1" t="s">
        <v>14</v>
      </c>
      <c r="F422" s="2">
        <v>41651</v>
      </c>
      <c r="G422" s="1">
        <v>7800</v>
      </c>
      <c r="H422" s="1">
        <v>3</v>
      </c>
      <c r="I422" s="1" t="s">
        <v>15</v>
      </c>
      <c r="J422" s="1" t="s">
        <v>29</v>
      </c>
    </row>
    <row r="423" spans="1:10">
      <c r="A423" s="1" t="s">
        <v>835</v>
      </c>
      <c r="B423" s="1" t="s">
        <v>836</v>
      </c>
      <c r="C423" s="1" t="s">
        <v>12</v>
      </c>
      <c r="D423" s="1" t="s">
        <v>32</v>
      </c>
      <c r="E423" s="1" t="s">
        <v>14</v>
      </c>
      <c r="F423" s="2">
        <v>43579</v>
      </c>
      <c r="G423" s="1">
        <v>7900</v>
      </c>
      <c r="H423" s="1">
        <v>3</v>
      </c>
      <c r="I423" s="1" t="s">
        <v>15</v>
      </c>
      <c r="J423" s="1" t="s">
        <v>55</v>
      </c>
    </row>
    <row r="424" spans="1:10">
      <c r="A424" s="1" t="s">
        <v>837</v>
      </c>
      <c r="B424" s="1" t="s">
        <v>838</v>
      </c>
      <c r="C424" s="1" t="s">
        <v>59</v>
      </c>
      <c r="D424" s="1" t="s">
        <v>106</v>
      </c>
      <c r="E424" s="1" t="s">
        <v>14</v>
      </c>
      <c r="F424" s="2">
        <v>42490</v>
      </c>
      <c r="G424" s="1">
        <v>7600</v>
      </c>
      <c r="H424" s="1">
        <v>3</v>
      </c>
      <c r="I424" s="1" t="s">
        <v>15</v>
      </c>
      <c r="J424" s="1" t="s">
        <v>16</v>
      </c>
    </row>
    <row r="425" spans="1:10">
      <c r="A425" s="1" t="s">
        <v>839</v>
      </c>
      <c r="B425" s="1" t="s">
        <v>840</v>
      </c>
      <c r="C425" s="1" t="s">
        <v>20</v>
      </c>
      <c r="D425" s="1" t="s">
        <v>277</v>
      </c>
      <c r="E425" s="1" t="s">
        <v>22</v>
      </c>
      <c r="F425" s="2">
        <v>45990</v>
      </c>
      <c r="G425" s="1">
        <v>5700</v>
      </c>
      <c r="H425" s="1">
        <v>4</v>
      </c>
      <c r="I425" s="1" t="s">
        <v>15</v>
      </c>
      <c r="J425" s="1" t="s">
        <v>55</v>
      </c>
    </row>
    <row r="426" spans="1:10">
      <c r="A426" s="1" t="s">
        <v>841</v>
      </c>
      <c r="B426" s="1" t="s">
        <v>174</v>
      </c>
      <c r="C426" s="1" t="s">
        <v>20</v>
      </c>
      <c r="D426" s="1" t="s">
        <v>218</v>
      </c>
      <c r="E426" s="1" t="s">
        <v>14</v>
      </c>
      <c r="F426" s="2">
        <v>43959</v>
      </c>
      <c r="G426" s="1">
        <v>11000</v>
      </c>
      <c r="H426" s="1">
        <v>1</v>
      </c>
      <c r="I426" s="1" t="s">
        <v>15</v>
      </c>
      <c r="J426" s="1" t="s">
        <v>29</v>
      </c>
    </row>
    <row r="427" spans="1:10">
      <c r="A427" s="1" t="s">
        <v>842</v>
      </c>
      <c r="B427" s="1" t="s">
        <v>396</v>
      </c>
      <c r="C427" s="1" t="s">
        <v>47</v>
      </c>
      <c r="D427" s="1" t="s">
        <v>48</v>
      </c>
      <c r="E427" s="1" t="s">
        <v>14</v>
      </c>
      <c r="F427" s="2">
        <v>44299</v>
      </c>
      <c r="G427" s="1">
        <v>11400</v>
      </c>
      <c r="H427" s="1">
        <v>4</v>
      </c>
      <c r="I427" s="1" t="s">
        <v>135</v>
      </c>
      <c r="J427" s="1" t="s">
        <v>29</v>
      </c>
    </row>
    <row r="428" spans="1:10">
      <c r="A428" s="1" t="s">
        <v>843</v>
      </c>
      <c r="B428" s="1" t="s">
        <v>235</v>
      </c>
      <c r="C428" s="1" t="s">
        <v>121</v>
      </c>
      <c r="D428" s="1" t="s">
        <v>288</v>
      </c>
      <c r="E428" s="1" t="s">
        <v>14</v>
      </c>
      <c r="F428" s="2">
        <v>45254</v>
      </c>
      <c r="G428" s="1">
        <v>11200</v>
      </c>
      <c r="H428" s="1">
        <v>3</v>
      </c>
      <c r="I428" s="1" t="s">
        <v>15</v>
      </c>
      <c r="J428" s="1" t="s">
        <v>16</v>
      </c>
    </row>
    <row r="429" spans="1:10">
      <c r="A429" s="1" t="s">
        <v>844</v>
      </c>
      <c r="B429" s="1" t="s">
        <v>845</v>
      </c>
      <c r="C429" s="1" t="s">
        <v>47</v>
      </c>
      <c r="D429" s="1" t="s">
        <v>54</v>
      </c>
      <c r="E429" s="1" t="s">
        <v>14</v>
      </c>
      <c r="F429" s="2">
        <v>42978</v>
      </c>
      <c r="G429" s="1">
        <v>19000</v>
      </c>
      <c r="H429" s="1">
        <v>4</v>
      </c>
      <c r="I429" s="1" t="s">
        <v>15</v>
      </c>
      <c r="J429" s="1" t="s">
        <v>16</v>
      </c>
    </row>
    <row r="430" spans="1:10">
      <c r="A430" s="1" t="s">
        <v>846</v>
      </c>
      <c r="B430" s="1" t="s">
        <v>696</v>
      </c>
      <c r="C430" s="1" t="s">
        <v>59</v>
      </c>
      <c r="D430" s="1" t="s">
        <v>60</v>
      </c>
      <c r="E430" s="1" t="s">
        <v>14</v>
      </c>
      <c r="F430" s="2">
        <v>44760</v>
      </c>
      <c r="G430" s="1">
        <v>16300</v>
      </c>
      <c r="H430" s="1">
        <v>4</v>
      </c>
      <c r="I430" s="1" t="s">
        <v>15</v>
      </c>
      <c r="J430" s="1" t="s">
        <v>16</v>
      </c>
    </row>
    <row r="431" spans="1:10">
      <c r="A431" s="1" t="s">
        <v>847</v>
      </c>
      <c r="B431" s="1" t="s">
        <v>806</v>
      </c>
      <c r="C431" s="1" t="s">
        <v>59</v>
      </c>
      <c r="D431" s="1" t="s">
        <v>118</v>
      </c>
      <c r="E431" s="1" t="s">
        <v>22</v>
      </c>
      <c r="F431" s="2">
        <v>45945</v>
      </c>
      <c r="G431" s="1">
        <v>7500</v>
      </c>
      <c r="H431" s="1">
        <v>5</v>
      </c>
      <c r="I431" s="1" t="s">
        <v>15</v>
      </c>
      <c r="J431" s="1" t="s">
        <v>16</v>
      </c>
    </row>
    <row r="432" spans="1:10">
      <c r="A432" s="1" t="s">
        <v>848</v>
      </c>
      <c r="B432" s="1" t="s">
        <v>162</v>
      </c>
      <c r="C432" s="1" t="s">
        <v>68</v>
      </c>
      <c r="D432" s="1" t="s">
        <v>91</v>
      </c>
      <c r="E432" s="1" t="s">
        <v>14</v>
      </c>
      <c r="F432" s="2">
        <v>42159</v>
      </c>
      <c r="G432" s="1">
        <v>8900</v>
      </c>
      <c r="H432" s="1">
        <v>4</v>
      </c>
      <c r="I432" s="1" t="s">
        <v>135</v>
      </c>
      <c r="J432" s="1" t="s">
        <v>16</v>
      </c>
    </row>
    <row r="433" spans="1:10">
      <c r="A433" s="1" t="s">
        <v>849</v>
      </c>
      <c r="B433" s="1" t="s">
        <v>850</v>
      </c>
      <c r="C433" s="1" t="s">
        <v>27</v>
      </c>
      <c r="D433" s="1" t="s">
        <v>28</v>
      </c>
      <c r="E433" s="1" t="s">
        <v>22</v>
      </c>
      <c r="F433" s="2">
        <v>44200</v>
      </c>
      <c r="G433" s="1">
        <v>11200</v>
      </c>
      <c r="H433" s="1">
        <v>3</v>
      </c>
      <c r="I433" s="1" t="s">
        <v>15</v>
      </c>
      <c r="J433" s="1" t="s">
        <v>16</v>
      </c>
    </row>
    <row r="434" spans="1:10">
      <c r="A434" s="1" t="s">
        <v>851</v>
      </c>
      <c r="B434" s="1" t="s">
        <v>400</v>
      </c>
      <c r="C434" s="1" t="s">
        <v>121</v>
      </c>
      <c r="D434" s="1" t="s">
        <v>163</v>
      </c>
      <c r="E434" s="1" t="s">
        <v>14</v>
      </c>
      <c r="F434" s="2">
        <v>43441</v>
      </c>
      <c r="G434" s="1">
        <v>8400</v>
      </c>
      <c r="H434" s="1">
        <v>4</v>
      </c>
      <c r="I434" s="1" t="s">
        <v>15</v>
      </c>
      <c r="J434" s="1" t="s">
        <v>29</v>
      </c>
    </row>
    <row r="435" spans="1:10">
      <c r="A435" s="1" t="s">
        <v>852</v>
      </c>
      <c r="B435" s="1" t="s">
        <v>853</v>
      </c>
      <c r="C435" s="1" t="s">
        <v>59</v>
      </c>
      <c r="D435" s="1" t="s">
        <v>106</v>
      </c>
      <c r="E435" s="1" t="s">
        <v>22</v>
      </c>
      <c r="F435" s="2">
        <v>41652</v>
      </c>
      <c r="G435" s="1">
        <v>9500</v>
      </c>
      <c r="H435" s="1">
        <v>4</v>
      </c>
      <c r="I435" s="1" t="s">
        <v>135</v>
      </c>
      <c r="J435" s="1" t="s">
        <v>16</v>
      </c>
    </row>
    <row r="436" spans="1:10">
      <c r="A436" s="1" t="s">
        <v>854</v>
      </c>
      <c r="B436" s="1" t="s">
        <v>855</v>
      </c>
      <c r="C436" s="1" t="s">
        <v>59</v>
      </c>
      <c r="D436" s="1" t="s">
        <v>118</v>
      </c>
      <c r="E436" s="1" t="s">
        <v>14</v>
      </c>
      <c r="F436" s="2">
        <v>43677</v>
      </c>
      <c r="G436" s="1">
        <v>6600</v>
      </c>
      <c r="H436" s="1">
        <v>3</v>
      </c>
      <c r="I436" s="1" t="s">
        <v>15</v>
      </c>
      <c r="J436" s="1" t="s">
        <v>16</v>
      </c>
    </row>
    <row r="437" spans="1:10">
      <c r="A437" s="1" t="s">
        <v>856</v>
      </c>
      <c r="B437" s="1" t="s">
        <v>53</v>
      </c>
      <c r="C437" s="1" t="s">
        <v>12</v>
      </c>
      <c r="D437" s="1" t="s">
        <v>132</v>
      </c>
      <c r="E437" s="1" t="s">
        <v>14</v>
      </c>
      <c r="F437" s="2">
        <v>43465</v>
      </c>
      <c r="G437" s="1">
        <v>17500</v>
      </c>
      <c r="H437" s="1">
        <v>4</v>
      </c>
      <c r="I437" s="1" t="s">
        <v>15</v>
      </c>
      <c r="J437" s="1" t="s">
        <v>29</v>
      </c>
    </row>
    <row r="438" spans="1:10">
      <c r="A438" s="1" t="s">
        <v>857</v>
      </c>
      <c r="B438" s="1" t="s">
        <v>858</v>
      </c>
      <c r="C438" s="1" t="s">
        <v>27</v>
      </c>
      <c r="D438" s="1" t="s">
        <v>40</v>
      </c>
      <c r="E438" s="1" t="s">
        <v>14</v>
      </c>
      <c r="F438" s="2">
        <v>45231</v>
      </c>
      <c r="G438" s="1">
        <v>10300</v>
      </c>
      <c r="H438" s="1">
        <v>3</v>
      </c>
      <c r="I438" s="1" t="s">
        <v>15</v>
      </c>
      <c r="J438" s="1" t="s">
        <v>55</v>
      </c>
    </row>
    <row r="439" spans="1:10">
      <c r="A439" s="1" t="s">
        <v>859</v>
      </c>
      <c r="B439" s="1" t="s">
        <v>58</v>
      </c>
      <c r="C439" s="1" t="s">
        <v>36</v>
      </c>
      <c r="D439" s="1" t="s">
        <v>101</v>
      </c>
      <c r="E439" s="1" t="s">
        <v>22</v>
      </c>
      <c r="F439" s="2">
        <v>43193</v>
      </c>
      <c r="G439" s="1">
        <v>9800</v>
      </c>
      <c r="H439" s="1">
        <v>3</v>
      </c>
      <c r="I439" s="1" t="s">
        <v>15</v>
      </c>
      <c r="J439" s="1" t="s">
        <v>16</v>
      </c>
    </row>
    <row r="440" spans="1:10">
      <c r="A440" s="1" t="s">
        <v>860</v>
      </c>
      <c r="B440" s="1" t="s">
        <v>346</v>
      </c>
      <c r="C440" s="1" t="s">
        <v>20</v>
      </c>
      <c r="D440" s="1" t="s">
        <v>21</v>
      </c>
      <c r="E440" s="1" t="s">
        <v>14</v>
      </c>
      <c r="F440" s="2">
        <v>43045</v>
      </c>
      <c r="G440" s="1">
        <v>6100</v>
      </c>
      <c r="H440" s="1">
        <v>3</v>
      </c>
      <c r="I440" s="1" t="s">
        <v>15</v>
      </c>
      <c r="J440" s="1" t="s">
        <v>23</v>
      </c>
    </row>
    <row r="441" spans="1:10">
      <c r="A441" s="1" t="s">
        <v>861</v>
      </c>
      <c r="B441" s="1" t="s">
        <v>862</v>
      </c>
      <c r="C441" s="1" t="s">
        <v>59</v>
      </c>
      <c r="D441" s="1" t="s">
        <v>106</v>
      </c>
      <c r="E441" s="1" t="s">
        <v>14</v>
      </c>
      <c r="F441" s="2">
        <v>43874</v>
      </c>
      <c r="G441" s="1">
        <v>9700</v>
      </c>
      <c r="H441" s="1">
        <v>2</v>
      </c>
      <c r="I441" s="1" t="s">
        <v>15</v>
      </c>
      <c r="J441" s="1" t="s">
        <v>16</v>
      </c>
    </row>
    <row r="442" spans="1:10">
      <c r="A442" s="1" t="s">
        <v>863</v>
      </c>
      <c r="B442" s="1" t="s">
        <v>360</v>
      </c>
      <c r="C442" s="1" t="s">
        <v>59</v>
      </c>
      <c r="D442" s="1" t="s">
        <v>60</v>
      </c>
      <c r="E442" s="1" t="s">
        <v>14</v>
      </c>
      <c r="F442" s="2">
        <v>43954</v>
      </c>
      <c r="G442" s="1">
        <v>13900</v>
      </c>
      <c r="H442" s="1">
        <v>2</v>
      </c>
      <c r="I442" s="1" t="s">
        <v>15</v>
      </c>
      <c r="J442" s="1" t="s">
        <v>16</v>
      </c>
    </row>
    <row r="443" spans="1:10">
      <c r="A443" s="1" t="s">
        <v>864</v>
      </c>
      <c r="B443" s="1" t="s">
        <v>575</v>
      </c>
      <c r="C443" s="1" t="s">
        <v>12</v>
      </c>
      <c r="D443" s="1" t="s">
        <v>132</v>
      </c>
      <c r="E443" s="1" t="s">
        <v>14</v>
      </c>
      <c r="F443" s="2">
        <v>41820</v>
      </c>
      <c r="G443" s="1">
        <v>13600</v>
      </c>
      <c r="H443" s="1">
        <v>4</v>
      </c>
      <c r="I443" s="1" t="s">
        <v>15</v>
      </c>
      <c r="J443" s="1" t="s">
        <v>23</v>
      </c>
    </row>
    <row r="444" spans="1:10">
      <c r="A444" s="1" t="s">
        <v>865</v>
      </c>
      <c r="B444" s="1" t="s">
        <v>667</v>
      </c>
      <c r="C444" s="1" t="s">
        <v>68</v>
      </c>
      <c r="D444" s="1" t="s">
        <v>170</v>
      </c>
      <c r="E444" s="1" t="s">
        <v>22</v>
      </c>
      <c r="F444" s="2">
        <v>45751</v>
      </c>
      <c r="G444" s="1">
        <v>16500</v>
      </c>
      <c r="H444" s="1">
        <v>4</v>
      </c>
      <c r="I444" s="1" t="s">
        <v>15</v>
      </c>
      <c r="J444" s="1" t="s">
        <v>16</v>
      </c>
    </row>
    <row r="445" spans="1:10">
      <c r="A445" s="1" t="s">
        <v>866</v>
      </c>
      <c r="B445" s="1" t="s">
        <v>796</v>
      </c>
      <c r="C445" s="1" t="s">
        <v>59</v>
      </c>
      <c r="D445" s="1" t="s">
        <v>118</v>
      </c>
      <c r="E445" s="1" t="s">
        <v>14</v>
      </c>
      <c r="F445" s="2">
        <v>43962</v>
      </c>
      <c r="G445" s="1">
        <v>5700</v>
      </c>
      <c r="H445" s="1">
        <v>3</v>
      </c>
      <c r="I445" s="1" t="s">
        <v>15</v>
      </c>
      <c r="J445" s="1" t="s">
        <v>29</v>
      </c>
    </row>
    <row r="446" spans="1:10">
      <c r="A446" s="1" t="s">
        <v>867</v>
      </c>
      <c r="B446" s="1" t="s">
        <v>868</v>
      </c>
      <c r="C446" s="1" t="s">
        <v>47</v>
      </c>
      <c r="D446" s="1" t="s">
        <v>206</v>
      </c>
      <c r="E446" s="1" t="s">
        <v>14</v>
      </c>
      <c r="F446" s="2">
        <v>41690</v>
      </c>
      <c r="G446" s="1">
        <v>6500</v>
      </c>
      <c r="H446" s="1">
        <v>3</v>
      </c>
      <c r="I446" s="1" t="s">
        <v>15</v>
      </c>
      <c r="J446" s="1" t="s">
        <v>16</v>
      </c>
    </row>
    <row r="447" spans="1:10">
      <c r="A447" s="1" t="s">
        <v>869</v>
      </c>
      <c r="B447" s="1" t="s">
        <v>419</v>
      </c>
      <c r="C447" s="1" t="s">
        <v>59</v>
      </c>
      <c r="D447" s="1" t="s">
        <v>118</v>
      </c>
      <c r="E447" s="1" t="s">
        <v>14</v>
      </c>
      <c r="F447" s="2">
        <v>42255</v>
      </c>
      <c r="G447" s="1">
        <v>8600</v>
      </c>
      <c r="H447" s="1">
        <v>4</v>
      </c>
      <c r="I447" s="1" t="s">
        <v>15</v>
      </c>
      <c r="J447" s="1" t="s">
        <v>16</v>
      </c>
    </row>
    <row r="448" spans="1:10">
      <c r="A448" s="1" t="s">
        <v>870</v>
      </c>
      <c r="B448" s="1" t="s">
        <v>240</v>
      </c>
      <c r="C448" s="1" t="s">
        <v>20</v>
      </c>
      <c r="D448" s="1" t="s">
        <v>75</v>
      </c>
      <c r="E448" s="1" t="s">
        <v>14</v>
      </c>
      <c r="F448" s="2">
        <v>43566</v>
      </c>
      <c r="G448" s="1">
        <v>12300</v>
      </c>
      <c r="H448" s="1">
        <v>2</v>
      </c>
      <c r="I448" s="1" t="s">
        <v>15</v>
      </c>
      <c r="J448" s="1" t="s">
        <v>29</v>
      </c>
    </row>
    <row r="449" spans="1:10">
      <c r="A449" s="1" t="s">
        <v>871</v>
      </c>
      <c r="B449" s="1" t="s">
        <v>629</v>
      </c>
      <c r="C449" s="1" t="s">
        <v>68</v>
      </c>
      <c r="D449" s="1" t="s">
        <v>69</v>
      </c>
      <c r="E449" s="1" t="s">
        <v>14</v>
      </c>
      <c r="F449" s="2">
        <v>46211</v>
      </c>
      <c r="G449" s="1">
        <v>9700</v>
      </c>
      <c r="H449" s="1">
        <v>3</v>
      </c>
      <c r="I449" s="1" t="s">
        <v>15</v>
      </c>
      <c r="J449" s="1" t="s">
        <v>16</v>
      </c>
    </row>
    <row r="450" spans="1:10">
      <c r="A450" s="1" t="s">
        <v>872</v>
      </c>
      <c r="B450" s="1" t="s">
        <v>873</v>
      </c>
      <c r="C450" s="1" t="s">
        <v>27</v>
      </c>
      <c r="D450" s="1" t="s">
        <v>40</v>
      </c>
      <c r="E450" s="1" t="s">
        <v>22</v>
      </c>
      <c r="F450" s="2">
        <v>46210</v>
      </c>
      <c r="G450" s="1">
        <v>9500</v>
      </c>
      <c r="H450" s="1">
        <v>3</v>
      </c>
      <c r="I450" s="1" t="s">
        <v>15</v>
      </c>
      <c r="J450" s="1" t="s">
        <v>55</v>
      </c>
    </row>
    <row r="451" spans="1:10">
      <c r="A451" s="1" t="s">
        <v>874</v>
      </c>
      <c r="B451" s="1" t="s">
        <v>85</v>
      </c>
      <c r="C451" s="1" t="s">
        <v>27</v>
      </c>
      <c r="D451" s="1" t="s">
        <v>28</v>
      </c>
      <c r="E451" s="1" t="s">
        <v>14</v>
      </c>
      <c r="F451" s="2">
        <v>42941</v>
      </c>
      <c r="G451" s="1">
        <v>9800</v>
      </c>
      <c r="H451" s="1">
        <v>3</v>
      </c>
      <c r="I451" s="1" t="s">
        <v>15</v>
      </c>
      <c r="J451" s="1" t="s">
        <v>44</v>
      </c>
    </row>
    <row r="452" spans="1:10">
      <c r="A452" s="1" t="s">
        <v>875</v>
      </c>
      <c r="B452" s="1" t="s">
        <v>247</v>
      </c>
      <c r="C452" s="1" t="s">
        <v>20</v>
      </c>
      <c r="D452" s="1" t="s">
        <v>277</v>
      </c>
      <c r="E452" s="1" t="s">
        <v>14</v>
      </c>
      <c r="F452" s="2">
        <v>42156</v>
      </c>
      <c r="G452" s="1">
        <v>5100</v>
      </c>
      <c r="H452" s="1">
        <v>3</v>
      </c>
      <c r="I452" s="1" t="s">
        <v>15</v>
      </c>
      <c r="J452" s="1" t="s">
        <v>16</v>
      </c>
    </row>
    <row r="453" spans="1:10">
      <c r="A453" s="1" t="s">
        <v>876</v>
      </c>
      <c r="B453" s="1" t="s">
        <v>877</v>
      </c>
      <c r="C453" s="1" t="s">
        <v>68</v>
      </c>
      <c r="D453" s="1" t="s">
        <v>69</v>
      </c>
      <c r="E453" s="1" t="s">
        <v>14</v>
      </c>
      <c r="F453" s="2">
        <v>42802</v>
      </c>
      <c r="G453" s="1">
        <v>14500</v>
      </c>
      <c r="H453" s="1">
        <v>4</v>
      </c>
      <c r="I453" s="1" t="s">
        <v>15</v>
      </c>
      <c r="J453" s="1" t="s">
        <v>23</v>
      </c>
    </row>
    <row r="454" spans="1:10">
      <c r="A454" s="1" t="s">
        <v>878</v>
      </c>
      <c r="B454" s="1" t="s">
        <v>879</v>
      </c>
      <c r="C454" s="1" t="s">
        <v>20</v>
      </c>
      <c r="D454" s="1" t="s">
        <v>218</v>
      </c>
      <c r="E454" s="1" t="s">
        <v>14</v>
      </c>
      <c r="F454" s="2">
        <v>41857</v>
      </c>
      <c r="G454" s="1">
        <v>7500</v>
      </c>
      <c r="H454" s="1">
        <v>3</v>
      </c>
      <c r="I454" s="1" t="s">
        <v>61</v>
      </c>
      <c r="J454" s="1" t="s">
        <v>29</v>
      </c>
    </row>
    <row r="455" spans="1:10">
      <c r="A455" s="1" t="s">
        <v>880</v>
      </c>
      <c r="B455" s="1" t="s">
        <v>587</v>
      </c>
      <c r="C455" s="1" t="s">
        <v>59</v>
      </c>
      <c r="D455" s="1" t="s">
        <v>60</v>
      </c>
      <c r="E455" s="1" t="s">
        <v>22</v>
      </c>
      <c r="F455" s="2">
        <v>43073</v>
      </c>
      <c r="G455" s="1">
        <v>16400</v>
      </c>
      <c r="H455" s="1">
        <v>4</v>
      </c>
      <c r="I455" s="1" t="s">
        <v>15</v>
      </c>
      <c r="J455" s="1" t="s">
        <v>16</v>
      </c>
    </row>
    <row r="456" spans="1:10">
      <c r="A456" s="1" t="s">
        <v>881</v>
      </c>
      <c r="B456" s="1" t="s">
        <v>882</v>
      </c>
      <c r="C456" s="1" t="s">
        <v>121</v>
      </c>
      <c r="D456" s="1" t="s">
        <v>180</v>
      </c>
      <c r="E456" s="1" t="s">
        <v>22</v>
      </c>
      <c r="F456" s="2">
        <v>41785</v>
      </c>
      <c r="G456" s="1">
        <v>22700</v>
      </c>
      <c r="H456" s="1">
        <v>4</v>
      </c>
      <c r="I456" s="1" t="s">
        <v>15</v>
      </c>
      <c r="J456" s="1" t="s">
        <v>29</v>
      </c>
    </row>
    <row r="457" spans="1:10">
      <c r="A457" s="1" t="s">
        <v>883</v>
      </c>
      <c r="B457" s="1" t="s">
        <v>884</v>
      </c>
      <c r="C457" s="1" t="s">
        <v>12</v>
      </c>
      <c r="D457" s="1" t="s">
        <v>32</v>
      </c>
      <c r="E457" s="1" t="s">
        <v>14</v>
      </c>
      <c r="F457" s="2">
        <v>44007</v>
      </c>
      <c r="G457" s="1">
        <v>8300</v>
      </c>
      <c r="H457" s="1">
        <v>3</v>
      </c>
      <c r="I457" s="1" t="s">
        <v>15</v>
      </c>
      <c r="J457" s="1" t="s">
        <v>16</v>
      </c>
    </row>
    <row r="458" spans="1:10">
      <c r="A458" s="1" t="s">
        <v>885</v>
      </c>
      <c r="B458" s="1" t="s">
        <v>886</v>
      </c>
      <c r="C458" s="1" t="s">
        <v>59</v>
      </c>
      <c r="D458" s="1" t="s">
        <v>86</v>
      </c>
      <c r="E458" s="1" t="s">
        <v>14</v>
      </c>
      <c r="F458" s="2">
        <v>44577</v>
      </c>
      <c r="G458" s="1">
        <v>14000</v>
      </c>
      <c r="H458" s="1">
        <v>3</v>
      </c>
      <c r="I458" s="1" t="s">
        <v>15</v>
      </c>
      <c r="J458" s="1" t="s">
        <v>16</v>
      </c>
    </row>
    <row r="459" spans="1:10">
      <c r="A459" s="1" t="s">
        <v>887</v>
      </c>
      <c r="B459" s="1" t="s">
        <v>438</v>
      </c>
      <c r="C459" s="1" t="s">
        <v>59</v>
      </c>
      <c r="D459" s="1" t="s">
        <v>86</v>
      </c>
      <c r="E459" s="1" t="s">
        <v>14</v>
      </c>
      <c r="F459" s="2">
        <v>43537</v>
      </c>
      <c r="G459" s="1">
        <v>9700</v>
      </c>
      <c r="H459" s="1">
        <v>4</v>
      </c>
      <c r="I459" s="1" t="s">
        <v>15</v>
      </c>
      <c r="J459" s="1" t="s">
        <v>23</v>
      </c>
    </row>
    <row r="460" spans="1:10">
      <c r="A460" s="1" t="s">
        <v>888</v>
      </c>
      <c r="B460" s="1" t="s">
        <v>889</v>
      </c>
      <c r="C460" s="1" t="s">
        <v>12</v>
      </c>
      <c r="D460" s="1" t="s">
        <v>64</v>
      </c>
      <c r="E460" s="1" t="s">
        <v>22</v>
      </c>
      <c r="F460" s="2">
        <v>43797</v>
      </c>
      <c r="G460" s="1">
        <v>10100</v>
      </c>
      <c r="H460" s="1">
        <v>1</v>
      </c>
      <c r="I460" s="1" t="s">
        <v>15</v>
      </c>
      <c r="J460" s="1" t="s">
        <v>16</v>
      </c>
    </row>
    <row r="461" spans="1:10">
      <c r="A461" s="1" t="s">
        <v>890</v>
      </c>
      <c r="B461" s="1" t="s">
        <v>891</v>
      </c>
      <c r="C461" s="1" t="s">
        <v>59</v>
      </c>
      <c r="D461" s="1" t="s">
        <v>86</v>
      </c>
      <c r="E461" s="1" t="s">
        <v>22</v>
      </c>
      <c r="F461" s="2">
        <v>43926</v>
      </c>
      <c r="G461" s="1">
        <v>10800</v>
      </c>
      <c r="H461" s="1">
        <v>4</v>
      </c>
      <c r="I461" s="1" t="s">
        <v>15</v>
      </c>
      <c r="J461" s="1" t="s">
        <v>55</v>
      </c>
    </row>
    <row r="462" spans="1:10">
      <c r="A462" s="1" t="s">
        <v>892</v>
      </c>
      <c r="B462" s="1" t="s">
        <v>264</v>
      </c>
      <c r="C462" s="1" t="s">
        <v>59</v>
      </c>
      <c r="D462" s="1" t="s">
        <v>127</v>
      </c>
      <c r="E462" s="1" t="s">
        <v>14</v>
      </c>
      <c r="F462" s="2">
        <v>41997</v>
      </c>
      <c r="G462" s="1">
        <v>16900</v>
      </c>
      <c r="H462" s="1">
        <v>5</v>
      </c>
      <c r="I462" s="1" t="s">
        <v>15</v>
      </c>
      <c r="J462" s="1" t="s">
        <v>16</v>
      </c>
    </row>
    <row r="463" spans="1:10">
      <c r="A463" s="1" t="s">
        <v>893</v>
      </c>
      <c r="B463" s="1" t="s">
        <v>264</v>
      </c>
      <c r="C463" s="1" t="s">
        <v>59</v>
      </c>
      <c r="D463" s="1" t="s">
        <v>106</v>
      </c>
      <c r="E463" s="1" t="s">
        <v>14</v>
      </c>
      <c r="F463" s="2">
        <v>44452</v>
      </c>
      <c r="G463" s="1">
        <v>10800</v>
      </c>
      <c r="H463" s="1">
        <v>4</v>
      </c>
      <c r="I463" s="1" t="s">
        <v>15</v>
      </c>
      <c r="J463" s="1" t="s">
        <v>16</v>
      </c>
    </row>
    <row r="464" spans="1:10">
      <c r="A464" s="1" t="s">
        <v>894</v>
      </c>
      <c r="B464" s="1" t="s">
        <v>486</v>
      </c>
      <c r="C464" s="1" t="s">
        <v>20</v>
      </c>
      <c r="D464" s="1" t="s">
        <v>277</v>
      </c>
      <c r="E464" s="1" t="s">
        <v>14</v>
      </c>
      <c r="F464" s="2">
        <v>42090</v>
      </c>
      <c r="G464" s="1">
        <v>6900</v>
      </c>
      <c r="H464" s="1">
        <v>3</v>
      </c>
      <c r="I464" s="1" t="s">
        <v>15</v>
      </c>
      <c r="J464" s="1" t="s">
        <v>16</v>
      </c>
    </row>
    <row r="465" spans="1:10">
      <c r="A465" s="1" t="s">
        <v>895</v>
      </c>
      <c r="B465" s="1" t="s">
        <v>896</v>
      </c>
      <c r="C465" s="1" t="s">
        <v>36</v>
      </c>
      <c r="D465" s="1" t="s">
        <v>101</v>
      </c>
      <c r="E465" s="1" t="s">
        <v>22</v>
      </c>
      <c r="F465" s="2">
        <v>43197</v>
      </c>
      <c r="G465" s="1">
        <v>7600</v>
      </c>
      <c r="H465" s="1">
        <v>3</v>
      </c>
      <c r="I465" s="1" t="s">
        <v>15</v>
      </c>
      <c r="J465" s="1" t="s">
        <v>29</v>
      </c>
    </row>
    <row r="466" spans="1:10">
      <c r="A466" s="1" t="s">
        <v>897</v>
      </c>
      <c r="B466" s="1" t="s">
        <v>535</v>
      </c>
      <c r="C466" s="1" t="s">
        <v>20</v>
      </c>
      <c r="D466" s="1" t="s">
        <v>277</v>
      </c>
      <c r="E466" s="1" t="s">
        <v>14</v>
      </c>
      <c r="F466" s="2">
        <v>43904</v>
      </c>
      <c r="G466" s="1">
        <v>6100</v>
      </c>
      <c r="H466" s="1">
        <v>3</v>
      </c>
      <c r="I466" s="1" t="s">
        <v>15</v>
      </c>
      <c r="J466" s="1" t="s">
        <v>55</v>
      </c>
    </row>
    <row r="467" spans="1:10">
      <c r="A467" s="1" t="s">
        <v>898</v>
      </c>
      <c r="B467" s="1" t="s">
        <v>899</v>
      </c>
      <c r="C467" s="1" t="s">
        <v>121</v>
      </c>
      <c r="D467" s="1" t="s">
        <v>288</v>
      </c>
      <c r="E467" s="1" t="s">
        <v>14</v>
      </c>
      <c r="F467" s="2">
        <v>43296</v>
      </c>
      <c r="G467" s="1">
        <v>11400</v>
      </c>
      <c r="H467" s="1">
        <v>4</v>
      </c>
      <c r="I467" s="1" t="s">
        <v>15</v>
      </c>
      <c r="J467" s="1" t="s">
        <v>29</v>
      </c>
    </row>
    <row r="468" spans="1:10">
      <c r="A468" s="1" t="s">
        <v>900</v>
      </c>
      <c r="B468" s="1" t="s">
        <v>901</v>
      </c>
      <c r="C468" s="1" t="s">
        <v>47</v>
      </c>
      <c r="D468" s="1" t="s">
        <v>317</v>
      </c>
      <c r="E468" s="1" t="s">
        <v>14</v>
      </c>
      <c r="F468" s="2">
        <v>44891</v>
      </c>
      <c r="G468" s="1">
        <v>7000</v>
      </c>
      <c r="H468" s="1">
        <v>5</v>
      </c>
      <c r="I468" s="1" t="s">
        <v>15</v>
      </c>
      <c r="J468" s="1" t="s">
        <v>23</v>
      </c>
    </row>
    <row r="469" spans="1:10">
      <c r="A469" s="1" t="s">
        <v>902</v>
      </c>
      <c r="B469" s="1" t="s">
        <v>134</v>
      </c>
      <c r="C469" s="1" t="s">
        <v>59</v>
      </c>
      <c r="D469" s="1" t="s">
        <v>127</v>
      </c>
      <c r="E469" s="1" t="s">
        <v>14</v>
      </c>
      <c r="F469" s="2">
        <v>43393</v>
      </c>
      <c r="G469" s="1">
        <v>21500</v>
      </c>
      <c r="H469" s="1">
        <v>4</v>
      </c>
      <c r="I469" s="1" t="s">
        <v>15</v>
      </c>
      <c r="J469" s="1" t="s">
        <v>16</v>
      </c>
    </row>
    <row r="470" spans="1:10">
      <c r="A470" s="1" t="s">
        <v>903</v>
      </c>
      <c r="B470" s="1" t="s">
        <v>521</v>
      </c>
      <c r="C470" s="1" t="s">
        <v>59</v>
      </c>
      <c r="D470" s="1" t="s">
        <v>118</v>
      </c>
      <c r="E470" s="1" t="s">
        <v>22</v>
      </c>
      <c r="F470" s="2">
        <v>45188</v>
      </c>
      <c r="G470" s="1">
        <v>6500</v>
      </c>
      <c r="H470" s="1">
        <v>4</v>
      </c>
      <c r="I470" s="1" t="s">
        <v>15</v>
      </c>
      <c r="J470" s="1" t="s">
        <v>16</v>
      </c>
    </row>
    <row r="471" spans="1:10">
      <c r="A471" s="1" t="s">
        <v>904</v>
      </c>
      <c r="B471" s="1" t="s">
        <v>767</v>
      </c>
      <c r="C471" s="1" t="s">
        <v>59</v>
      </c>
      <c r="D471" s="1" t="s">
        <v>106</v>
      </c>
      <c r="E471" s="1" t="s">
        <v>14</v>
      </c>
      <c r="F471" s="2">
        <v>43485</v>
      </c>
      <c r="G471" s="1">
        <v>8900</v>
      </c>
      <c r="H471" s="1">
        <v>3</v>
      </c>
      <c r="I471" s="1" t="s">
        <v>15</v>
      </c>
      <c r="J471" s="1" t="s">
        <v>55</v>
      </c>
    </row>
    <row r="472" spans="1:10">
      <c r="A472" s="1" t="s">
        <v>905</v>
      </c>
      <c r="B472" s="1" t="s">
        <v>167</v>
      </c>
      <c r="C472" s="1" t="s">
        <v>59</v>
      </c>
      <c r="D472" s="1" t="s">
        <v>106</v>
      </c>
      <c r="E472" s="1" t="s">
        <v>14</v>
      </c>
      <c r="F472" s="2">
        <v>44597</v>
      </c>
      <c r="G472" s="1">
        <v>10000</v>
      </c>
      <c r="H472" s="1">
        <v>3</v>
      </c>
      <c r="I472" s="1" t="s">
        <v>15</v>
      </c>
      <c r="J472" s="1" t="s">
        <v>55</v>
      </c>
    </row>
    <row r="473" spans="1:10">
      <c r="A473" s="1" t="s">
        <v>906</v>
      </c>
      <c r="B473" s="1" t="s">
        <v>907</v>
      </c>
      <c r="C473" s="1" t="s">
        <v>68</v>
      </c>
      <c r="D473" s="1" t="s">
        <v>69</v>
      </c>
      <c r="E473" s="1" t="s">
        <v>22</v>
      </c>
      <c r="F473" s="2">
        <v>44198</v>
      </c>
      <c r="G473" s="1">
        <v>12000</v>
      </c>
      <c r="H473" s="1">
        <v>2</v>
      </c>
      <c r="I473" s="1" t="s">
        <v>15</v>
      </c>
      <c r="J473" s="1" t="s">
        <v>16</v>
      </c>
    </row>
    <row r="474" spans="1:10">
      <c r="A474" s="1" t="s">
        <v>908</v>
      </c>
      <c r="B474" s="1" t="s">
        <v>829</v>
      </c>
      <c r="C474" s="1" t="s">
        <v>68</v>
      </c>
      <c r="D474" s="1" t="s">
        <v>177</v>
      </c>
      <c r="E474" s="1" t="s">
        <v>14</v>
      </c>
      <c r="F474" s="2">
        <v>46106</v>
      </c>
      <c r="G474" s="1">
        <v>14700</v>
      </c>
      <c r="H474" s="1">
        <v>5</v>
      </c>
      <c r="I474" s="1" t="s">
        <v>15</v>
      </c>
      <c r="J474" s="1" t="s">
        <v>55</v>
      </c>
    </row>
    <row r="475" spans="1:10">
      <c r="A475" s="1" t="s">
        <v>909</v>
      </c>
      <c r="B475" s="1" t="s">
        <v>634</v>
      </c>
      <c r="C475" s="1" t="s">
        <v>68</v>
      </c>
      <c r="D475" s="1" t="s">
        <v>170</v>
      </c>
      <c r="E475" s="1" t="s">
        <v>14</v>
      </c>
      <c r="F475" s="2">
        <v>43832</v>
      </c>
      <c r="G475" s="1">
        <v>14500</v>
      </c>
      <c r="H475" s="1">
        <v>3</v>
      </c>
      <c r="I475" s="1" t="s">
        <v>15</v>
      </c>
      <c r="J475" s="1" t="s">
        <v>16</v>
      </c>
    </row>
    <row r="476" spans="1:10">
      <c r="A476" s="1" t="s">
        <v>910</v>
      </c>
      <c r="B476" s="1" t="s">
        <v>911</v>
      </c>
      <c r="C476" s="1" t="s">
        <v>68</v>
      </c>
      <c r="D476" s="1" t="s">
        <v>69</v>
      </c>
      <c r="E476" s="1" t="s">
        <v>14</v>
      </c>
      <c r="F476" s="2">
        <v>45252</v>
      </c>
      <c r="G476" s="1">
        <v>13000</v>
      </c>
      <c r="H476" s="1">
        <v>3</v>
      </c>
      <c r="I476" s="1" t="s">
        <v>15</v>
      </c>
      <c r="J476" s="1" t="s">
        <v>23</v>
      </c>
    </row>
    <row r="477" spans="1:10">
      <c r="A477" s="1" t="s">
        <v>912</v>
      </c>
      <c r="B477" s="1" t="s">
        <v>396</v>
      </c>
      <c r="C477" s="1" t="s">
        <v>47</v>
      </c>
      <c r="D477" s="1" t="s">
        <v>206</v>
      </c>
      <c r="E477" s="1" t="s">
        <v>14</v>
      </c>
      <c r="F477" s="2">
        <v>42574</v>
      </c>
      <c r="G477" s="1">
        <v>7000</v>
      </c>
      <c r="H477" s="1">
        <v>3</v>
      </c>
      <c r="I477" s="1" t="s">
        <v>15</v>
      </c>
      <c r="J477" s="1" t="s">
        <v>16</v>
      </c>
    </row>
    <row r="478" spans="1:10">
      <c r="A478" s="1" t="s">
        <v>913</v>
      </c>
      <c r="B478" s="1" t="s">
        <v>914</v>
      </c>
      <c r="C478" s="1" t="s">
        <v>20</v>
      </c>
      <c r="D478" s="1" t="s">
        <v>218</v>
      </c>
      <c r="E478" s="1" t="s">
        <v>22</v>
      </c>
      <c r="F478" s="2">
        <v>42177</v>
      </c>
      <c r="G478" s="1">
        <v>9500</v>
      </c>
      <c r="H478" s="1">
        <v>3</v>
      </c>
      <c r="I478" s="1" t="s">
        <v>15</v>
      </c>
      <c r="J478" s="1" t="s">
        <v>44</v>
      </c>
    </row>
    <row r="479" spans="1:10">
      <c r="A479" s="1" t="s">
        <v>915</v>
      </c>
      <c r="B479" s="1" t="s">
        <v>916</v>
      </c>
      <c r="C479" s="1" t="s">
        <v>27</v>
      </c>
      <c r="D479" s="1" t="s">
        <v>43</v>
      </c>
      <c r="E479" s="1" t="s">
        <v>14</v>
      </c>
      <c r="F479" s="2">
        <v>43471</v>
      </c>
      <c r="G479" s="1">
        <v>13900</v>
      </c>
      <c r="H479" s="1">
        <v>3</v>
      </c>
      <c r="I479" s="1" t="s">
        <v>135</v>
      </c>
      <c r="J479" s="1" t="s">
        <v>23</v>
      </c>
    </row>
    <row r="480" spans="1:10">
      <c r="A480" s="1" t="s">
        <v>917</v>
      </c>
      <c r="B480" s="1" t="s">
        <v>918</v>
      </c>
      <c r="C480" s="1" t="s">
        <v>47</v>
      </c>
      <c r="D480" s="1" t="s">
        <v>317</v>
      </c>
      <c r="E480" s="1" t="s">
        <v>22</v>
      </c>
      <c r="F480" s="2">
        <v>42877</v>
      </c>
      <c r="G480" s="1">
        <v>6800</v>
      </c>
      <c r="H480" s="1">
        <v>3</v>
      </c>
      <c r="I480" s="1" t="s">
        <v>15</v>
      </c>
      <c r="J480" s="1" t="s">
        <v>16</v>
      </c>
    </row>
    <row r="481" spans="1:10">
      <c r="A481" s="1" t="s">
        <v>919</v>
      </c>
      <c r="B481" s="1" t="s">
        <v>744</v>
      </c>
      <c r="C481" s="1" t="s">
        <v>47</v>
      </c>
      <c r="D481" s="1" t="s">
        <v>317</v>
      </c>
      <c r="E481" s="1" t="s">
        <v>14</v>
      </c>
      <c r="F481" s="2">
        <v>41816</v>
      </c>
      <c r="G481" s="1">
        <v>6900</v>
      </c>
      <c r="H481" s="1">
        <v>3</v>
      </c>
      <c r="I481" s="1" t="s">
        <v>15</v>
      </c>
      <c r="J481" s="1" t="s">
        <v>23</v>
      </c>
    </row>
    <row r="482" spans="1:10">
      <c r="A482" s="1" t="s">
        <v>920</v>
      </c>
      <c r="B482" s="1" t="s">
        <v>921</v>
      </c>
      <c r="C482" s="1" t="s">
        <v>36</v>
      </c>
      <c r="D482" s="1" t="s">
        <v>101</v>
      </c>
      <c r="E482" s="1" t="s">
        <v>14</v>
      </c>
      <c r="F482" s="2">
        <v>43633</v>
      </c>
      <c r="G482" s="1">
        <v>10600</v>
      </c>
      <c r="H482" s="1">
        <v>4</v>
      </c>
      <c r="I482" s="1" t="s">
        <v>15</v>
      </c>
      <c r="J482" s="1" t="s">
        <v>29</v>
      </c>
    </row>
    <row r="483" spans="1:10">
      <c r="A483" s="1" t="s">
        <v>922</v>
      </c>
      <c r="B483" s="1" t="s">
        <v>292</v>
      </c>
      <c r="C483" s="1" t="s">
        <v>12</v>
      </c>
      <c r="D483" s="1" t="s">
        <v>32</v>
      </c>
      <c r="E483" s="1" t="s">
        <v>22</v>
      </c>
      <c r="F483" s="2">
        <v>42073</v>
      </c>
      <c r="G483" s="1">
        <v>10800</v>
      </c>
      <c r="H483" s="1">
        <v>3</v>
      </c>
      <c r="I483" s="1" t="s">
        <v>15</v>
      </c>
      <c r="J483" s="1" t="s">
        <v>55</v>
      </c>
    </row>
    <row r="484" spans="1:10">
      <c r="A484" s="1" t="s">
        <v>923</v>
      </c>
      <c r="B484" s="1" t="s">
        <v>924</v>
      </c>
      <c r="C484" s="1" t="s">
        <v>47</v>
      </c>
      <c r="D484" s="1" t="s">
        <v>317</v>
      </c>
      <c r="E484" s="1" t="s">
        <v>14</v>
      </c>
      <c r="F484" s="2">
        <v>43199</v>
      </c>
      <c r="G484" s="1">
        <v>7300</v>
      </c>
      <c r="H484" s="1">
        <v>3</v>
      </c>
      <c r="I484" s="1" t="s">
        <v>135</v>
      </c>
      <c r="J484" s="1" t="s">
        <v>29</v>
      </c>
    </row>
    <row r="485" spans="1:10">
      <c r="A485" s="1" t="s">
        <v>925</v>
      </c>
      <c r="B485" s="1" t="s">
        <v>926</v>
      </c>
      <c r="C485" s="1" t="s">
        <v>20</v>
      </c>
      <c r="D485" s="1" t="s">
        <v>277</v>
      </c>
      <c r="E485" s="1" t="s">
        <v>14</v>
      </c>
      <c r="F485" s="2">
        <v>45475</v>
      </c>
      <c r="G485" s="1">
        <v>6900</v>
      </c>
      <c r="H485" s="1">
        <v>3</v>
      </c>
      <c r="I485" s="1" t="s">
        <v>135</v>
      </c>
      <c r="J485" s="1" t="s">
        <v>23</v>
      </c>
    </row>
    <row r="486" spans="1:10">
      <c r="A486" s="1" t="s">
        <v>927</v>
      </c>
      <c r="B486" s="1" t="s">
        <v>763</v>
      </c>
      <c r="C486" s="1" t="s">
        <v>20</v>
      </c>
      <c r="D486" s="1" t="s">
        <v>218</v>
      </c>
      <c r="E486" s="1" t="s">
        <v>14</v>
      </c>
      <c r="F486" s="2">
        <v>42049</v>
      </c>
      <c r="G486" s="1">
        <v>10500</v>
      </c>
      <c r="H486" s="1">
        <v>4</v>
      </c>
      <c r="I486" s="1" t="s">
        <v>15</v>
      </c>
      <c r="J486" s="1" t="s">
        <v>16</v>
      </c>
    </row>
    <row r="487" spans="1:10">
      <c r="A487" s="1" t="s">
        <v>928</v>
      </c>
      <c r="B487" s="1" t="s">
        <v>929</v>
      </c>
      <c r="C487" s="1" t="s">
        <v>20</v>
      </c>
      <c r="D487" s="1" t="s">
        <v>21</v>
      </c>
      <c r="E487" s="1" t="s">
        <v>22</v>
      </c>
      <c r="F487" s="2">
        <v>44216</v>
      </c>
      <c r="G487" s="1">
        <v>7300</v>
      </c>
      <c r="H487" s="1">
        <v>3</v>
      </c>
      <c r="I487" s="1" t="s">
        <v>15</v>
      </c>
      <c r="J487" s="1" t="s">
        <v>29</v>
      </c>
    </row>
    <row r="488" spans="1:10">
      <c r="A488" s="1" t="s">
        <v>930</v>
      </c>
      <c r="B488" s="1" t="s">
        <v>126</v>
      </c>
      <c r="C488" s="1" t="s">
        <v>47</v>
      </c>
      <c r="D488" s="1" t="s">
        <v>317</v>
      </c>
      <c r="E488" s="1" t="s">
        <v>14</v>
      </c>
      <c r="F488" s="2">
        <v>42785</v>
      </c>
      <c r="G488" s="1">
        <v>8000</v>
      </c>
      <c r="H488" s="1">
        <v>4</v>
      </c>
      <c r="I488" s="1" t="s">
        <v>15</v>
      </c>
      <c r="J488" s="1" t="s">
        <v>16</v>
      </c>
    </row>
    <row r="489" spans="1:10">
      <c r="A489" s="1" t="s">
        <v>931</v>
      </c>
      <c r="B489" s="1" t="s">
        <v>374</v>
      </c>
      <c r="C489" s="1" t="s">
        <v>59</v>
      </c>
      <c r="D489" s="1" t="s">
        <v>106</v>
      </c>
      <c r="E489" s="1" t="s">
        <v>14</v>
      </c>
      <c r="F489" s="2">
        <v>43945</v>
      </c>
      <c r="G489" s="1">
        <v>9700</v>
      </c>
      <c r="H489" s="1">
        <v>5</v>
      </c>
      <c r="I489" s="1" t="s">
        <v>15</v>
      </c>
      <c r="J489" s="1" t="s">
        <v>16</v>
      </c>
    </row>
    <row r="490" spans="1:10">
      <c r="A490" s="1" t="s">
        <v>932</v>
      </c>
      <c r="B490" s="1" t="s">
        <v>933</v>
      </c>
      <c r="C490" s="1" t="s">
        <v>121</v>
      </c>
      <c r="D490" s="1" t="s">
        <v>475</v>
      </c>
      <c r="E490" s="1" t="s">
        <v>14</v>
      </c>
      <c r="F490" s="2">
        <v>42203</v>
      </c>
      <c r="G490" s="1">
        <v>13300</v>
      </c>
      <c r="H490" s="1">
        <v>4</v>
      </c>
      <c r="I490" s="1" t="s">
        <v>15</v>
      </c>
      <c r="J490" s="1" t="s">
        <v>55</v>
      </c>
    </row>
    <row r="491" spans="1:10">
      <c r="A491" s="1" t="s">
        <v>934</v>
      </c>
      <c r="B491" s="1" t="s">
        <v>935</v>
      </c>
      <c r="C491" s="1" t="s">
        <v>27</v>
      </c>
      <c r="D491" s="1" t="s">
        <v>43</v>
      </c>
      <c r="E491" s="1" t="s">
        <v>14</v>
      </c>
      <c r="F491" s="2">
        <v>45382</v>
      </c>
      <c r="G491" s="1">
        <v>18100</v>
      </c>
      <c r="H491" s="1">
        <v>4</v>
      </c>
      <c r="I491" s="1" t="s">
        <v>15</v>
      </c>
      <c r="J491" s="1" t="s">
        <v>29</v>
      </c>
    </row>
    <row r="492" spans="1:10">
      <c r="A492" s="1" t="s">
        <v>936</v>
      </c>
      <c r="B492" s="1" t="s">
        <v>937</v>
      </c>
      <c r="C492" s="1" t="s">
        <v>12</v>
      </c>
      <c r="D492" s="1" t="s">
        <v>32</v>
      </c>
      <c r="E492" s="1" t="s">
        <v>14</v>
      </c>
      <c r="F492" s="2">
        <v>45559</v>
      </c>
      <c r="G492" s="1">
        <v>8300</v>
      </c>
      <c r="H492" s="1">
        <v>4</v>
      </c>
      <c r="I492" s="1" t="s">
        <v>15</v>
      </c>
      <c r="J492" s="1" t="s">
        <v>55</v>
      </c>
    </row>
    <row r="493" spans="1:10">
      <c r="A493" s="1" t="s">
        <v>938</v>
      </c>
      <c r="B493" s="1" t="s">
        <v>939</v>
      </c>
      <c r="C493" s="1" t="s">
        <v>36</v>
      </c>
      <c r="D493" s="1" t="s">
        <v>320</v>
      </c>
      <c r="E493" s="1" t="s">
        <v>22</v>
      </c>
      <c r="F493" s="2">
        <v>42000</v>
      </c>
      <c r="G493" s="1">
        <v>6800</v>
      </c>
      <c r="H493" s="1">
        <v>3</v>
      </c>
      <c r="I493" s="1" t="s">
        <v>15</v>
      </c>
      <c r="J493" s="1" t="s">
        <v>16</v>
      </c>
    </row>
    <row r="494" spans="1:10">
      <c r="A494" s="1" t="s">
        <v>940</v>
      </c>
      <c r="B494" s="1" t="s">
        <v>71</v>
      </c>
      <c r="C494" s="1" t="s">
        <v>68</v>
      </c>
      <c r="D494" s="1" t="s">
        <v>96</v>
      </c>
      <c r="E494" s="1" t="s">
        <v>14</v>
      </c>
      <c r="F494" s="2">
        <v>46079</v>
      </c>
      <c r="G494" s="1">
        <v>22900</v>
      </c>
      <c r="H494" s="1">
        <v>3</v>
      </c>
      <c r="I494" s="1" t="s">
        <v>15</v>
      </c>
      <c r="J494" s="1" t="s">
        <v>29</v>
      </c>
    </row>
    <row r="495" spans="1:10">
      <c r="A495" s="1" t="s">
        <v>941</v>
      </c>
      <c r="B495" s="1" t="s">
        <v>337</v>
      </c>
      <c r="C495" s="1" t="s">
        <v>12</v>
      </c>
      <c r="D495" s="1" t="s">
        <v>32</v>
      </c>
      <c r="E495" s="1" t="s">
        <v>14</v>
      </c>
      <c r="F495" s="2">
        <v>42962</v>
      </c>
      <c r="G495" s="1">
        <v>8200</v>
      </c>
      <c r="H495" s="1">
        <v>4</v>
      </c>
      <c r="I495" s="1" t="s">
        <v>15</v>
      </c>
      <c r="J495" s="1" t="s">
        <v>55</v>
      </c>
    </row>
    <row r="496" spans="1:10">
      <c r="A496" s="1" t="s">
        <v>942</v>
      </c>
      <c r="B496" s="1" t="s">
        <v>191</v>
      </c>
      <c r="C496" s="1" t="s">
        <v>59</v>
      </c>
      <c r="D496" s="1" t="s">
        <v>86</v>
      </c>
      <c r="E496" s="1" t="s">
        <v>22</v>
      </c>
      <c r="F496" s="2">
        <v>43799</v>
      </c>
      <c r="G496" s="1">
        <v>11700</v>
      </c>
      <c r="H496" s="1">
        <v>3</v>
      </c>
      <c r="I496" s="1" t="s">
        <v>15</v>
      </c>
      <c r="J496" s="1" t="s">
        <v>55</v>
      </c>
    </row>
    <row r="497" spans="1:10">
      <c r="A497" s="1" t="s">
        <v>943</v>
      </c>
      <c r="B497" s="1" t="s">
        <v>312</v>
      </c>
      <c r="C497" s="1" t="s">
        <v>20</v>
      </c>
      <c r="D497" s="1" t="s">
        <v>277</v>
      </c>
      <c r="E497" s="1" t="s">
        <v>14</v>
      </c>
      <c r="F497" s="2">
        <v>45193</v>
      </c>
      <c r="G497" s="1">
        <v>6600</v>
      </c>
      <c r="H497" s="1">
        <v>4</v>
      </c>
      <c r="I497" s="1" t="s">
        <v>15</v>
      </c>
      <c r="J497" s="1" t="s">
        <v>16</v>
      </c>
    </row>
    <row r="498" spans="1:10">
      <c r="A498" s="1" t="s">
        <v>944</v>
      </c>
      <c r="B498" s="1" t="s">
        <v>891</v>
      </c>
      <c r="C498" s="1" t="s">
        <v>12</v>
      </c>
      <c r="D498" s="1" t="s">
        <v>132</v>
      </c>
      <c r="E498" s="1" t="s">
        <v>22</v>
      </c>
      <c r="F498" s="2">
        <v>43652</v>
      </c>
      <c r="G498" s="1">
        <v>12500</v>
      </c>
      <c r="H498" s="1">
        <v>3</v>
      </c>
      <c r="I498" s="1" t="s">
        <v>61</v>
      </c>
      <c r="J498" s="1" t="s">
        <v>29</v>
      </c>
    </row>
    <row r="499" spans="1:10">
      <c r="A499" s="1" t="s">
        <v>945</v>
      </c>
      <c r="B499" s="1" t="s">
        <v>946</v>
      </c>
      <c r="C499" s="1" t="s">
        <v>20</v>
      </c>
      <c r="D499" s="1" t="s">
        <v>277</v>
      </c>
      <c r="E499" s="1" t="s">
        <v>22</v>
      </c>
      <c r="F499" s="2">
        <v>45679</v>
      </c>
      <c r="G499" s="1">
        <v>6200</v>
      </c>
      <c r="H499" s="1">
        <v>3</v>
      </c>
      <c r="I499" s="1" t="s">
        <v>61</v>
      </c>
      <c r="J499" s="1" t="s">
        <v>55</v>
      </c>
    </row>
    <row r="500" spans="1:10">
      <c r="A500" s="1" t="s">
        <v>947</v>
      </c>
      <c r="B500" s="1" t="s">
        <v>680</v>
      </c>
      <c r="C500" s="1" t="s">
        <v>47</v>
      </c>
      <c r="D500" s="1" t="s">
        <v>206</v>
      </c>
      <c r="E500" s="1" t="s">
        <v>22</v>
      </c>
      <c r="F500" s="2">
        <v>42714</v>
      </c>
      <c r="G500" s="1">
        <v>5500</v>
      </c>
      <c r="H500" s="1">
        <v>3</v>
      </c>
      <c r="I500" s="1" t="s">
        <v>15</v>
      </c>
      <c r="J500" s="1" t="s">
        <v>29</v>
      </c>
    </row>
    <row r="501" spans="1:10">
      <c r="A501" s="1" t="s">
        <v>948</v>
      </c>
      <c r="B501" s="1" t="s">
        <v>949</v>
      </c>
      <c r="C501" s="1" t="s">
        <v>27</v>
      </c>
      <c r="D501" s="1" t="s">
        <v>43</v>
      </c>
      <c r="E501" s="1" t="s">
        <v>22</v>
      </c>
      <c r="F501" s="2">
        <v>43524</v>
      </c>
      <c r="G501" s="1">
        <v>17200</v>
      </c>
      <c r="H501" s="1">
        <v>1</v>
      </c>
      <c r="I501" s="1" t="s">
        <v>15</v>
      </c>
      <c r="J5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F9A0-C30A-45D5-B96D-1ABF1D877CB8}">
  <dimension ref="A3:B12"/>
  <sheetViews>
    <sheetView workbookViewId="0">
      <selection activeCell="A4" sqref="A4"/>
    </sheetView>
  </sheetViews>
  <sheetFormatPr defaultRowHeight="15"/>
  <cols>
    <col min="1" max="1" width="21.5703125" bestFit="1" customWidth="1"/>
    <col min="2" max="2" width="21" bestFit="1" customWidth="1"/>
    <col min="3" max="3" width="22.42578125" bestFit="1" customWidth="1"/>
  </cols>
  <sheetData>
    <row r="3" spans="1:2" ht="12.75" customHeight="1">
      <c r="A3" s="6" t="s">
        <v>2</v>
      </c>
      <c r="B3" t="s">
        <v>950</v>
      </c>
    </row>
    <row r="4" spans="1:2">
      <c r="A4" t="s">
        <v>59</v>
      </c>
      <c r="B4" s="5">
        <v>105</v>
      </c>
    </row>
    <row r="5" spans="1:2">
      <c r="A5" t="s">
        <v>12</v>
      </c>
      <c r="B5" s="5">
        <v>65</v>
      </c>
    </row>
    <row r="6" spans="1:2">
      <c r="A6" t="s">
        <v>20</v>
      </c>
      <c r="B6" s="5">
        <v>65</v>
      </c>
    </row>
    <row r="7" spans="1:2">
      <c r="A7" t="s">
        <v>68</v>
      </c>
      <c r="B7" s="5">
        <v>65</v>
      </c>
    </row>
    <row r="8" spans="1:2">
      <c r="A8" t="s">
        <v>27</v>
      </c>
      <c r="B8" s="5">
        <v>60</v>
      </c>
    </row>
    <row r="9" spans="1:2">
      <c r="A9" t="s">
        <v>36</v>
      </c>
      <c r="B9" s="5">
        <v>55</v>
      </c>
    </row>
    <row r="10" spans="1:2">
      <c r="A10" t="s">
        <v>121</v>
      </c>
      <c r="B10" s="5">
        <v>45</v>
      </c>
    </row>
    <row r="11" spans="1:2">
      <c r="A11" t="s">
        <v>47</v>
      </c>
      <c r="B11" s="5">
        <v>40</v>
      </c>
    </row>
    <row r="12" spans="1:2">
      <c r="A12" t="s">
        <v>951</v>
      </c>
      <c r="B12" s="5">
        <v>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5B0F-B088-41E3-8A60-2A577D2CEE93}">
  <dimension ref="I7:J17"/>
  <sheetViews>
    <sheetView topLeftCell="F1" workbookViewId="0">
      <selection activeCell="W26" sqref="W26"/>
    </sheetView>
  </sheetViews>
  <sheetFormatPr defaultRowHeight="15"/>
  <cols>
    <col min="9" max="9" width="21.5703125" bestFit="1" customWidth="1"/>
    <col min="10" max="10" width="22.42578125" style="4" bestFit="1" customWidth="1"/>
  </cols>
  <sheetData>
    <row r="7" spans="9:10">
      <c r="I7" s="6" t="s">
        <v>2</v>
      </c>
      <c r="J7" s="4" t="s">
        <v>952</v>
      </c>
    </row>
    <row r="8" spans="9:10">
      <c r="I8" t="s">
        <v>68</v>
      </c>
      <c r="J8" s="7">
        <v>12556.923076923076</v>
      </c>
    </row>
    <row r="9" spans="9:10">
      <c r="I9" t="s">
        <v>121</v>
      </c>
      <c r="J9" s="7">
        <v>11164.444444444445</v>
      </c>
    </row>
    <row r="10" spans="9:10">
      <c r="I10" t="s">
        <v>59</v>
      </c>
      <c r="J10" s="7">
        <v>11147.619047619048</v>
      </c>
    </row>
    <row r="11" spans="9:10">
      <c r="I11" t="s">
        <v>27</v>
      </c>
      <c r="J11" s="7">
        <v>10898.333333333334</v>
      </c>
    </row>
    <row r="12" spans="9:10">
      <c r="I12" t="s">
        <v>12</v>
      </c>
      <c r="J12" s="7">
        <v>10556.923076923076</v>
      </c>
    </row>
    <row r="13" spans="9:10">
      <c r="I13" t="s">
        <v>36</v>
      </c>
      <c r="J13" s="7">
        <v>10350.90909090909</v>
      </c>
    </row>
    <row r="14" spans="9:10">
      <c r="I14" t="s">
        <v>47</v>
      </c>
      <c r="J14" s="7">
        <v>9587.5</v>
      </c>
    </row>
    <row r="15" spans="9:10">
      <c r="I15" t="s">
        <v>20</v>
      </c>
      <c r="J15" s="7">
        <v>8938.461538461539</v>
      </c>
    </row>
    <row r="16" spans="9:10">
      <c r="I16" t="s">
        <v>951</v>
      </c>
      <c r="J16" s="7">
        <v>10726</v>
      </c>
    </row>
    <row r="17" spans="10:10">
      <c r="J1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5E6E-FDE0-4438-AF4B-5ACC2C17F705}">
  <dimension ref="A1:B10"/>
  <sheetViews>
    <sheetView tabSelected="1" workbookViewId="0">
      <selection activeCell="O22" sqref="O22"/>
    </sheetView>
  </sheetViews>
  <sheetFormatPr defaultRowHeight="15"/>
  <cols>
    <col min="1" max="1" width="21.5703125" bestFit="1" customWidth="1"/>
    <col min="2" max="2" width="29.28515625" bestFit="1" customWidth="1"/>
  </cols>
  <sheetData>
    <row r="1" spans="1:2">
      <c r="A1" s="6" t="s">
        <v>2</v>
      </c>
      <c r="B1" s="4" t="s">
        <v>953</v>
      </c>
    </row>
    <row r="2" spans="1:2">
      <c r="A2" t="s">
        <v>36</v>
      </c>
      <c r="B2" s="4">
        <v>3.6</v>
      </c>
    </row>
    <row r="3" spans="1:2">
      <c r="A3" t="s">
        <v>47</v>
      </c>
      <c r="B3" s="4">
        <v>3.5249999999999999</v>
      </c>
    </row>
    <row r="4" spans="1:2">
      <c r="A4" t="s">
        <v>68</v>
      </c>
      <c r="B4" s="4">
        <v>3.476923076923077</v>
      </c>
    </row>
    <row r="5" spans="1:2">
      <c r="A5" t="s">
        <v>12</v>
      </c>
      <c r="B5" s="4">
        <v>3.4307692307692306</v>
      </c>
    </row>
    <row r="6" spans="1:2">
      <c r="A6" t="s">
        <v>121</v>
      </c>
      <c r="B6" s="4">
        <v>3.4222222222222221</v>
      </c>
    </row>
    <row r="7" spans="1:2">
      <c r="A7" t="s">
        <v>59</v>
      </c>
      <c r="B7" s="4">
        <v>3.4190476190476189</v>
      </c>
    </row>
    <row r="8" spans="1:2">
      <c r="A8" t="s">
        <v>20</v>
      </c>
      <c r="B8" s="4">
        <v>3.3846153846153846</v>
      </c>
    </row>
    <row r="9" spans="1:2">
      <c r="A9" t="s">
        <v>27</v>
      </c>
      <c r="B9" s="4">
        <v>3.3166666666666669</v>
      </c>
    </row>
    <row r="10" spans="1:2">
      <c r="A10" t="s">
        <v>951</v>
      </c>
      <c r="B10" s="4">
        <v>3.44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04B1-460F-4E94-A6FB-4B1BBA1FE148}">
  <dimension ref="A1:B5"/>
  <sheetViews>
    <sheetView workbookViewId="0">
      <selection activeCell="P24" sqref="P24"/>
    </sheetView>
  </sheetViews>
  <sheetFormatPr defaultRowHeight="15"/>
  <cols>
    <col min="1" max="1" width="22.42578125" bestFit="1" customWidth="1"/>
    <col min="2" max="2" width="21" bestFit="1" customWidth="1"/>
  </cols>
  <sheetData>
    <row r="1" spans="1:2">
      <c r="A1" s="6" t="s">
        <v>8</v>
      </c>
      <c r="B1" t="s">
        <v>950</v>
      </c>
    </row>
    <row r="2" spans="1:2">
      <c r="A2" t="s">
        <v>15</v>
      </c>
      <c r="B2" s="5">
        <v>431</v>
      </c>
    </row>
    <row r="3" spans="1:2">
      <c r="A3" t="s">
        <v>135</v>
      </c>
      <c r="B3" s="5">
        <v>48</v>
      </c>
    </row>
    <row r="4" spans="1:2">
      <c r="A4" t="s">
        <v>61</v>
      </c>
      <c r="B4" s="5">
        <v>21</v>
      </c>
    </row>
    <row r="5" spans="1:2">
      <c r="A5" t="s">
        <v>951</v>
      </c>
      <c r="B5" s="5">
        <v>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0031-90A0-486C-A607-76EFDF51694C}">
  <dimension ref="A1:B4"/>
  <sheetViews>
    <sheetView workbookViewId="0">
      <selection activeCell="O20" sqref="O20"/>
    </sheetView>
  </sheetViews>
  <sheetFormatPr defaultRowHeight="15"/>
  <cols>
    <col min="1" max="1" width="11.42578125" bestFit="1" customWidth="1"/>
    <col min="2" max="2" width="21" bestFit="1" customWidth="1"/>
  </cols>
  <sheetData>
    <row r="1" spans="1:2">
      <c r="A1" s="6" t="s">
        <v>4</v>
      </c>
      <c r="B1" t="s">
        <v>950</v>
      </c>
    </row>
    <row r="2" spans="1:2">
      <c r="A2" t="s">
        <v>22</v>
      </c>
      <c r="B2" s="5">
        <v>176</v>
      </c>
    </row>
    <row r="3" spans="1:2">
      <c r="A3" t="s">
        <v>14</v>
      </c>
      <c r="B3" s="5">
        <v>324</v>
      </c>
    </row>
    <row r="4" spans="1:2">
      <c r="A4" t="s">
        <v>951</v>
      </c>
      <c r="B4" s="5">
        <v>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B1C5-8559-40CB-BDA6-674717DA5C21}">
  <dimension ref="A1:B7"/>
  <sheetViews>
    <sheetView workbookViewId="0">
      <selection activeCell="P32" sqref="P32"/>
    </sheetView>
  </sheetViews>
  <sheetFormatPr defaultRowHeight="15"/>
  <cols>
    <col min="1" max="1" width="17.5703125" bestFit="1" customWidth="1"/>
    <col min="2" max="2" width="21" bestFit="1" customWidth="1"/>
  </cols>
  <sheetData>
    <row r="1" spans="1:2">
      <c r="A1" s="6" t="s">
        <v>9</v>
      </c>
      <c r="B1" t="s">
        <v>950</v>
      </c>
    </row>
    <row r="2" spans="1:2">
      <c r="A2" t="s">
        <v>16</v>
      </c>
      <c r="B2" s="5">
        <v>228</v>
      </c>
    </row>
    <row r="3" spans="1:2">
      <c r="A3" t="s">
        <v>29</v>
      </c>
      <c r="B3" s="5">
        <v>131</v>
      </c>
    </row>
    <row r="4" spans="1:2">
      <c r="A4" t="s">
        <v>23</v>
      </c>
      <c r="B4" s="5">
        <v>59</v>
      </c>
    </row>
    <row r="5" spans="1:2">
      <c r="A5" t="s">
        <v>55</v>
      </c>
      <c r="B5" s="5">
        <v>57</v>
      </c>
    </row>
    <row r="6" spans="1:2">
      <c r="A6" t="s">
        <v>44</v>
      </c>
      <c r="B6" s="5">
        <v>25</v>
      </c>
    </row>
    <row r="7" spans="1:2">
      <c r="A7" t="s">
        <v>951</v>
      </c>
      <c r="B7" s="5">
        <v>500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62EC-03E1-4590-AFBE-CB9D2051601D}">
  <dimension ref="B2:O8"/>
  <sheetViews>
    <sheetView showGridLines="0" workbookViewId="0">
      <selection activeCell="M7" sqref="M7"/>
    </sheetView>
  </sheetViews>
  <sheetFormatPr defaultRowHeight="15"/>
  <cols>
    <col min="1" max="1" width="9.140625" style="9"/>
    <col min="2" max="2" width="28.7109375" style="9" customWidth="1"/>
    <col min="3" max="3" width="17.28515625" style="9" customWidth="1"/>
    <col min="4" max="4" width="6" style="9" customWidth="1"/>
    <col min="5" max="5" width="9.140625" style="9"/>
    <col min="6" max="6" width="28.28515625" style="9" customWidth="1"/>
    <col min="7" max="7" width="16.42578125" style="9" customWidth="1"/>
    <col min="8" max="8" width="9.42578125" style="9" customWidth="1"/>
    <col min="9" max="9" width="8.140625" style="9" customWidth="1"/>
    <col min="10" max="10" width="34.85546875" style="9" customWidth="1"/>
    <col min="11" max="11" width="16.28515625" style="9" customWidth="1"/>
    <col min="12" max="12" width="9.140625" style="9"/>
    <col min="13" max="13" width="24.28515625" style="9" customWidth="1"/>
    <col min="14" max="14" width="26.5703125" style="9" customWidth="1"/>
    <col min="15" max="16384" width="9.140625" style="9"/>
  </cols>
  <sheetData>
    <row r="2" spans="2:15" ht="15" customHeight="1">
      <c r="B2" s="10" t="s">
        <v>954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5" spans="2:15" ht="15.75">
      <c r="B5" s="11" t="s">
        <v>955</v>
      </c>
      <c r="C5" s="8"/>
      <c r="D5" s="8"/>
      <c r="F5" s="11" t="s">
        <v>956</v>
      </c>
      <c r="G5" s="8"/>
      <c r="H5" s="8"/>
      <c r="J5" s="11" t="s">
        <v>957</v>
      </c>
      <c r="K5" s="8"/>
      <c r="M5" s="11" t="s">
        <v>958</v>
      </c>
      <c r="N5" s="8"/>
    </row>
    <row r="6" spans="2:15">
      <c r="B6" s="8"/>
      <c r="C6" s="8"/>
      <c r="D6" s="8"/>
      <c r="F6" s="8"/>
      <c r="G6" s="8"/>
      <c r="H6" s="8"/>
      <c r="J6" s="8"/>
      <c r="K6" s="8"/>
      <c r="M6" s="8"/>
      <c r="N6" s="8"/>
    </row>
    <row r="7" spans="2:15" ht="21">
      <c r="B7" s="12">
        <f>'Headcount Analysis'!B12</f>
        <v>500</v>
      </c>
      <c r="C7" s="8"/>
      <c r="D7" s="8"/>
      <c r="F7" s="12">
        <f>'Employment Status Analysis'!B2</f>
        <v>431</v>
      </c>
      <c r="G7" s="8"/>
      <c r="H7" s="8"/>
      <c r="J7" s="13">
        <f>'Salary Analysis'!J16</f>
        <v>10726</v>
      </c>
      <c r="K7" s="8"/>
      <c r="M7" s="14">
        <f>'Performance Analysis'!B10</f>
        <v>3.44</v>
      </c>
      <c r="N7" s="8"/>
    </row>
    <row r="8" spans="2:15">
      <c r="B8" s="8"/>
      <c r="C8" s="8"/>
      <c r="D8" s="8"/>
      <c r="F8" s="8"/>
      <c r="G8" s="8"/>
      <c r="H8" s="8"/>
      <c r="J8" s="8"/>
      <c r="K8" s="8"/>
      <c r="M8" s="8"/>
      <c r="N8" s="8"/>
    </row>
  </sheetData>
  <mergeCells count="1">
    <mergeCell ref="B2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2026-10-09T19:46:42Z</dcterms:created>
  <dcterms:modified xsi:type="dcterms:W3CDTF">2026-10-10T16:38:26Z</dcterms:modified>
  <cp:category/>
  <cp:contentStatus/>
</cp:coreProperties>
</file>